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universitetetitromso-my.sharepoint.com/personal/cfa024_uit_no/Documents/Master's Thesis/Expression Analysis-Python/"/>
    </mc:Choice>
  </mc:AlternateContent>
  <xr:revisionPtr revIDLastSave="281" documentId="13_ncr:40009_{52C840F4-6D91-9241-9C5F-4BE058727ED3}" xr6:coauthVersionLast="46" xr6:coauthVersionMax="46" xr10:uidLastSave="{A4009751-485A-1D42-8323-A7AED0C6F9BB}"/>
  <bookViews>
    <workbookView xWindow="1100" yWindow="640" windowWidth="23320" windowHeight="16040" activeTab="5" xr2:uid="{00000000-000D-0000-FFFF-FFFF00000000}"/>
  </bookViews>
  <sheets>
    <sheet name="Table lookup_N2" sheetId="6" r:id="rId1"/>
    <sheet name="Table lookup_I1" sheetId="7" r:id="rId2"/>
    <sheet name="N2-High_samples" sheetId="14" r:id="rId3"/>
    <sheet name="I1-High_samples" sheetId="15" r:id="rId4"/>
    <sheet name="Omitted samples - cDNA" sheetId="16" r:id="rId5"/>
    <sheet name="Omitted samples - qPCR" sheetId="17" r:id="rId6"/>
  </sheets>
  <definedNames>
    <definedName name="_xlnm._FilterDatabase" localSheetId="5" hidden="1">'Omitted samples - qPCR'!#REF!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7" i="14" l="1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4" i="14"/>
  <c r="O53" i="14"/>
  <c r="O54" i="14"/>
  <c r="O2" i="14"/>
  <c r="O3" i="14"/>
  <c r="O5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4" i="14"/>
  <c r="N53" i="14"/>
  <c r="N54" i="14"/>
  <c r="N2" i="14"/>
  <c r="N3" i="14"/>
  <c r="N5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80" i="14"/>
  <c r="N81" i="14"/>
  <c r="N82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4" i="14"/>
  <c r="M53" i="14"/>
  <c r="M54" i="14"/>
  <c r="M2" i="14"/>
  <c r="M3" i="14"/>
  <c r="M5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4" i="14"/>
  <c r="L53" i="14"/>
  <c r="L54" i="14"/>
  <c r="L2" i="14"/>
  <c r="L3" i="14"/>
  <c r="L5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L82" i="14"/>
  <c r="O12" i="15"/>
  <c r="O13" i="15"/>
  <c r="O14" i="15"/>
  <c r="O15" i="15"/>
  <c r="O16" i="15"/>
  <c r="O17" i="15"/>
  <c r="O18" i="15"/>
  <c r="O19" i="15"/>
  <c r="O2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9" i="15"/>
  <c r="O3" i="15"/>
  <c r="O43" i="15"/>
  <c r="O4" i="15"/>
  <c r="O44" i="15"/>
  <c r="O45" i="15"/>
  <c r="O46" i="15"/>
  <c r="O5" i="15"/>
  <c r="O47" i="15"/>
  <c r="O48" i="15"/>
  <c r="O6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" i="15"/>
  <c r="O10" i="15"/>
  <c r="O8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N12" i="15"/>
  <c r="N13" i="15"/>
  <c r="N14" i="15"/>
  <c r="N15" i="15"/>
  <c r="N16" i="15"/>
  <c r="N17" i="15"/>
  <c r="N18" i="15"/>
  <c r="N19" i="15"/>
  <c r="N2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40" i="15"/>
  <c r="N41" i="15"/>
  <c r="N42" i="15"/>
  <c r="N9" i="15"/>
  <c r="N3" i="15"/>
  <c r="N43" i="15"/>
  <c r="N4" i="15"/>
  <c r="N44" i="15"/>
  <c r="N45" i="15"/>
  <c r="N46" i="15"/>
  <c r="N5" i="15"/>
  <c r="N47" i="15"/>
  <c r="N48" i="15"/>
  <c r="N6" i="15"/>
  <c r="N49" i="15"/>
  <c r="N50" i="15"/>
  <c r="N51" i="15"/>
  <c r="N52" i="15"/>
  <c r="N53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" i="15"/>
  <c r="N10" i="15"/>
  <c r="N8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M12" i="15"/>
  <c r="M13" i="15"/>
  <c r="M14" i="15"/>
  <c r="M15" i="15"/>
  <c r="M16" i="15"/>
  <c r="M17" i="15"/>
  <c r="M18" i="15"/>
  <c r="M19" i="15"/>
  <c r="M2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9" i="15"/>
  <c r="M3" i="15"/>
  <c r="M43" i="15"/>
  <c r="M4" i="15"/>
  <c r="M44" i="15"/>
  <c r="M45" i="15"/>
  <c r="M46" i="15"/>
  <c r="M5" i="15"/>
  <c r="M47" i="15"/>
  <c r="M48" i="15"/>
  <c r="M6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" i="15"/>
  <c r="M10" i="15"/>
  <c r="M8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O11" i="15"/>
  <c r="N11" i="15"/>
  <c r="M11" i="15"/>
  <c r="O6" i="14"/>
  <c r="N6" i="14"/>
  <c r="M6" i="14"/>
  <c r="L12" i="15"/>
  <c r="L13" i="15"/>
  <c r="L14" i="15"/>
  <c r="L15" i="15"/>
  <c r="L16" i="15"/>
  <c r="L17" i="15"/>
  <c r="L18" i="15"/>
  <c r="L19" i="15"/>
  <c r="L2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9" i="15"/>
  <c r="L3" i="15"/>
  <c r="L43" i="15"/>
  <c r="L4" i="15"/>
  <c r="L44" i="15"/>
  <c r="L45" i="15"/>
  <c r="L46" i="15"/>
  <c r="L5" i="15"/>
  <c r="L47" i="15"/>
  <c r="L48" i="15"/>
  <c r="L6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70" i="15"/>
  <c r="L71" i="15"/>
  <c r="L7" i="15"/>
  <c r="L10" i="15"/>
  <c r="L8" i="15"/>
  <c r="L72" i="15"/>
  <c r="L73" i="15"/>
  <c r="L74" i="15"/>
  <c r="L75" i="15"/>
  <c r="L76" i="15"/>
  <c r="L77" i="15"/>
  <c r="L78" i="15"/>
  <c r="L79" i="15"/>
  <c r="L80" i="15"/>
  <c r="L81" i="15"/>
  <c r="L82" i="15"/>
  <c r="L83" i="15"/>
  <c r="L84" i="15"/>
  <c r="L85" i="15"/>
  <c r="L86" i="15"/>
  <c r="L87" i="15"/>
  <c r="L11" i="15"/>
  <c r="L6" i="14"/>
</calcChain>
</file>

<file path=xl/sharedStrings.xml><?xml version="1.0" encoding="utf-8"?>
<sst xmlns="http://schemas.openxmlformats.org/spreadsheetml/2006/main" count="717" uniqueCount="258">
  <si>
    <t>Sample ID</t>
  </si>
  <si>
    <t>Nucleic Acid Conc.</t>
  </si>
  <si>
    <t>Unit</t>
  </si>
  <si>
    <t>260/280</t>
  </si>
  <si>
    <t>260/230</t>
  </si>
  <si>
    <t>Volume RNA (max 6uL)</t>
  </si>
  <si>
    <t>Volume water</t>
  </si>
  <si>
    <t>N2_1A_1</t>
  </si>
  <si>
    <t>N2_1A_3</t>
  </si>
  <si>
    <t>N2_1B_1</t>
  </si>
  <si>
    <t>N2_1B_2</t>
  </si>
  <si>
    <t>N2_1B_3</t>
  </si>
  <si>
    <t>N2_2A_1</t>
  </si>
  <si>
    <t>N2_2A_2</t>
  </si>
  <si>
    <t>N2_2B_1</t>
  </si>
  <si>
    <t>N2_2B_3</t>
  </si>
  <si>
    <t>N2_3A_1</t>
  </si>
  <si>
    <t>N2_3A_2</t>
  </si>
  <si>
    <t>N2_3A_3</t>
  </si>
  <si>
    <t>N2_3B_1</t>
  </si>
  <si>
    <t>N2_3B_2</t>
  </si>
  <si>
    <t>N2_3B_3</t>
  </si>
  <si>
    <t>N2_4A_1</t>
  </si>
  <si>
    <t>N2_4A_2</t>
  </si>
  <si>
    <t>N2_4A_3</t>
  </si>
  <si>
    <t>N2_4B_1</t>
  </si>
  <si>
    <t>N2_4B_2</t>
  </si>
  <si>
    <t>N2_4B_3</t>
  </si>
  <si>
    <t>N2_5A_1</t>
  </si>
  <si>
    <t>N2_5A_2</t>
  </si>
  <si>
    <t>N2_5A_3</t>
  </si>
  <si>
    <t>N2_5B_1</t>
  </si>
  <si>
    <t>N2_5B_2</t>
  </si>
  <si>
    <t>N2_5B_3</t>
  </si>
  <si>
    <t>N2_6A_1</t>
  </si>
  <si>
    <t>N2_6A_2</t>
  </si>
  <si>
    <t>N2_6A_3</t>
  </si>
  <si>
    <t>N2_6B_1</t>
  </si>
  <si>
    <t>N2_6B_2</t>
  </si>
  <si>
    <t>N2_6B_3</t>
  </si>
  <si>
    <t>N2_7A_1</t>
  </si>
  <si>
    <t>N2_7A_2</t>
  </si>
  <si>
    <t>N2_7A_3</t>
  </si>
  <si>
    <t>N2_7B_1</t>
  </si>
  <si>
    <t>N2_7B_2</t>
  </si>
  <si>
    <t>N2_7B_3</t>
  </si>
  <si>
    <t>N2_8A_1</t>
  </si>
  <si>
    <t>N2_8A_2</t>
  </si>
  <si>
    <t>N2_8A_3</t>
  </si>
  <si>
    <t>N2_8B_1</t>
  </si>
  <si>
    <t>N2_8B_2</t>
  </si>
  <si>
    <t>N2_8B_3</t>
  </si>
  <si>
    <t>N2_8C_1</t>
  </si>
  <si>
    <t>N2_8C_2</t>
  </si>
  <si>
    <t>N2_8C_3</t>
  </si>
  <si>
    <t>N2_8D_1</t>
  </si>
  <si>
    <t>N2_8D_2</t>
  </si>
  <si>
    <t>N2_8D_3</t>
  </si>
  <si>
    <t>N2_9A_1</t>
  </si>
  <si>
    <t>N2_9A_2</t>
  </si>
  <si>
    <t>N2_9A_3</t>
  </si>
  <si>
    <t>N2_9B_1</t>
  </si>
  <si>
    <t>N2_9B_2</t>
  </si>
  <si>
    <t>N2_9B_3</t>
  </si>
  <si>
    <t>N2_9C_1</t>
  </si>
  <si>
    <t>N2_9C_2</t>
  </si>
  <si>
    <t>N2_9C_3</t>
  </si>
  <si>
    <t>N2_9D_1</t>
  </si>
  <si>
    <t>N2_9D_2</t>
  </si>
  <si>
    <t>N2_9D_3</t>
  </si>
  <si>
    <t>N2_10A_1</t>
  </si>
  <si>
    <t>N2_10A_2</t>
  </si>
  <si>
    <t>N2_10A_3</t>
  </si>
  <si>
    <t>N2_10B_1</t>
  </si>
  <si>
    <t>N2_10B_2</t>
  </si>
  <si>
    <t>N2_10B_3</t>
  </si>
  <si>
    <t>N2_10C_1</t>
  </si>
  <si>
    <t>N2_10C_2</t>
  </si>
  <si>
    <t>N2_10C_3</t>
  </si>
  <si>
    <t>N2_10D_1</t>
  </si>
  <si>
    <t>N2_10D_2</t>
  </si>
  <si>
    <t>N2_10D_3</t>
  </si>
  <si>
    <t>N2_11A_1</t>
  </si>
  <si>
    <t>N2_11A_2</t>
  </si>
  <si>
    <t>N2_11A_3</t>
  </si>
  <si>
    <t>N2_11B_1</t>
  </si>
  <si>
    <t>N2_11B_2</t>
  </si>
  <si>
    <t>N2_11B_3</t>
  </si>
  <si>
    <t>N2_11C_1</t>
  </si>
  <si>
    <t>N2_11C_2</t>
  </si>
  <si>
    <t>N2_11C_3</t>
  </si>
  <si>
    <t>N2_11D_1</t>
  </si>
  <si>
    <t>N2_11D_2</t>
  </si>
  <si>
    <t>N2_11D_3</t>
  </si>
  <si>
    <t>N2_12A_1</t>
  </si>
  <si>
    <t>N2_12A_2</t>
  </si>
  <si>
    <t>N2_12A_3</t>
  </si>
  <si>
    <t>N2_12B_1</t>
  </si>
  <si>
    <t>N2_12B_2</t>
  </si>
  <si>
    <t>N2_12B_3</t>
  </si>
  <si>
    <t>N2_12C_1</t>
  </si>
  <si>
    <t>N2_12C_2</t>
  </si>
  <si>
    <t>N2_12C_3</t>
  </si>
  <si>
    <t>N2_12D_1</t>
  </si>
  <si>
    <t>N2_12D_2</t>
  </si>
  <si>
    <t>N2_12D_3</t>
  </si>
  <si>
    <t>N2_13A_1</t>
  </si>
  <si>
    <t>N2_13A_2</t>
  </si>
  <si>
    <t>N2_13A_3</t>
  </si>
  <si>
    <t>N2_13B_1</t>
  </si>
  <si>
    <t>N2_13B_2</t>
  </si>
  <si>
    <t>N2_13B_3</t>
  </si>
  <si>
    <t>N2_13C_1</t>
  </si>
  <si>
    <t>N2_13C_2</t>
  </si>
  <si>
    <t>N2_13C_3</t>
  </si>
  <si>
    <t>N2_13D_1</t>
  </si>
  <si>
    <t>N2_13D_2</t>
  </si>
  <si>
    <t>N2_13D_3</t>
  </si>
  <si>
    <t>I1_9D_1</t>
  </si>
  <si>
    <t>I1_9C_1</t>
  </si>
  <si>
    <t>I1_8D_1</t>
  </si>
  <si>
    <t>I1_8C_1</t>
  </si>
  <si>
    <t>I1_8B_1</t>
  </si>
  <si>
    <t>I1_8A_1</t>
  </si>
  <si>
    <t>I1_7B_1</t>
  </si>
  <si>
    <t>I1_7A_1</t>
  </si>
  <si>
    <t>I1_6B_1</t>
  </si>
  <si>
    <t>I1_6A_1</t>
  </si>
  <si>
    <t>I1_5B_1</t>
  </si>
  <si>
    <t>I1_2B_1</t>
  </si>
  <si>
    <t>I1_2A_1</t>
  </si>
  <si>
    <t>I1_1B_1</t>
  </si>
  <si>
    <t>I1_1A_1</t>
  </si>
  <si>
    <t>I1_13D_1</t>
  </si>
  <si>
    <t>I1_13C_1</t>
  </si>
  <si>
    <t>I1_13B_1</t>
  </si>
  <si>
    <t>I1_13A_1</t>
  </si>
  <si>
    <t>I1_12D_1</t>
  </si>
  <si>
    <t>I1_12C_1</t>
  </si>
  <si>
    <t>I1_12B_1</t>
  </si>
  <si>
    <t>I1_12A_1</t>
  </si>
  <si>
    <t>I1_11D_1</t>
  </si>
  <si>
    <t>I1_11B_1</t>
  </si>
  <si>
    <t>I1_11A_1</t>
  </si>
  <si>
    <t>I1_10C_1</t>
  </si>
  <si>
    <t>PRR9</t>
  </si>
  <si>
    <t>PRDX</t>
  </si>
  <si>
    <t>MSI1</t>
  </si>
  <si>
    <t>LUX</t>
  </si>
  <si>
    <t>LHY</t>
  </si>
  <si>
    <t>GAPDH</t>
  </si>
  <si>
    <t>Target</t>
  </si>
  <si>
    <t>I1_13D_3</t>
  </si>
  <si>
    <t>I1_13B_3</t>
  </si>
  <si>
    <t>I1_13A_3</t>
  </si>
  <si>
    <t>I1_12D_3</t>
  </si>
  <si>
    <t>I1_12C_3</t>
  </si>
  <si>
    <t>I1_12B_3</t>
  </si>
  <si>
    <t>I1_12A_3</t>
  </si>
  <si>
    <t>I1_11D_3</t>
  </si>
  <si>
    <t>I1_11C_3</t>
  </si>
  <si>
    <t>I1_10C_3</t>
  </si>
  <si>
    <t>I1_9C_3</t>
  </si>
  <si>
    <t>I1_8D_3</t>
  </si>
  <si>
    <t>I1_8C_3</t>
  </si>
  <si>
    <t>I1_8B_3</t>
  </si>
  <si>
    <t>I1_8A_3</t>
  </si>
  <si>
    <t>I1_7B_3</t>
  </si>
  <si>
    <t>I1_7A_3</t>
  </si>
  <si>
    <t>I1_6B_3</t>
  </si>
  <si>
    <t>I1_6A_3</t>
  </si>
  <si>
    <t>I1_5B_3</t>
  </si>
  <si>
    <t>I1_4B_3</t>
  </si>
  <si>
    <t>I1_2B_3</t>
  </si>
  <si>
    <t>I1_2A_3</t>
  </si>
  <si>
    <t>I1_1B_3</t>
  </si>
  <si>
    <t>I1_1A_3</t>
  </si>
  <si>
    <t>I1_13D_2</t>
  </si>
  <si>
    <t>I1_13C_2</t>
  </si>
  <si>
    <t>I1_13B_2</t>
  </si>
  <si>
    <t>I1_13A_2</t>
  </si>
  <si>
    <t>I1_12D_2</t>
  </si>
  <si>
    <t>I1_12C_2</t>
  </si>
  <si>
    <t>I1_12B_2</t>
  </si>
  <si>
    <t>I1_12A_2</t>
  </si>
  <si>
    <t>I1_11D_2</t>
  </si>
  <si>
    <t>I1_11C_2</t>
  </si>
  <si>
    <t>I1_11B_2</t>
  </si>
  <si>
    <t>I1_10C_2</t>
  </si>
  <si>
    <t>I1_9D_2</t>
  </si>
  <si>
    <t>I1_9C_2</t>
  </si>
  <si>
    <t>I1_8D_2</t>
  </si>
  <si>
    <t>I1_8C_2</t>
  </si>
  <si>
    <t>I1_8B_2</t>
  </si>
  <si>
    <t>I1_8A_2</t>
  </si>
  <si>
    <t>I1_7B_2</t>
  </si>
  <si>
    <t>I1_7A_2</t>
  </si>
  <si>
    <t>I1_6B_2</t>
  </si>
  <si>
    <t>I1_6A_2</t>
  </si>
  <si>
    <t>I1_5B_2</t>
  </si>
  <si>
    <t>I1_2A_2</t>
  </si>
  <si>
    <t>I1_1B_2</t>
  </si>
  <si>
    <t>I1_1A_2</t>
  </si>
  <si>
    <t>I1_13C_3</t>
  </si>
  <si>
    <t>I1_11C_1</t>
  </si>
  <si>
    <t>I1_11B_3</t>
  </si>
  <si>
    <t>I1_11A_3</t>
  </si>
  <si>
    <t>I1_11A_2</t>
  </si>
  <si>
    <t>I1_10D_3</t>
  </si>
  <si>
    <t>I1_10D_2</t>
  </si>
  <si>
    <t>I1_10D_1</t>
  </si>
  <si>
    <t>I1_10B_3</t>
  </si>
  <si>
    <t>I1_10B_1</t>
  </si>
  <si>
    <t>I1_10A_3</t>
  </si>
  <si>
    <t>I1_10A_2</t>
  </si>
  <si>
    <t>I1_10A_1</t>
  </si>
  <si>
    <t>I1_9D_3</t>
  </si>
  <si>
    <t>I1_9B_3</t>
  </si>
  <si>
    <t>I1_9B_2</t>
  </si>
  <si>
    <t>I1_9B_1</t>
  </si>
  <si>
    <t>I1_9A_3</t>
  </si>
  <si>
    <t>I1_9A_2</t>
  </si>
  <si>
    <t>I1_9A_1</t>
  </si>
  <si>
    <t>I1_5A_3</t>
  </si>
  <si>
    <t>I1_5A_2</t>
  </si>
  <si>
    <t>I1_5A_1</t>
  </si>
  <si>
    <t>I1_4B_2</t>
  </si>
  <si>
    <t>I1_4B_1</t>
  </si>
  <si>
    <t>I1_4A_3</t>
  </si>
  <si>
    <t>I1_4A_2</t>
  </si>
  <si>
    <t>I1_4A_1</t>
  </si>
  <si>
    <t>I1_3B_3</t>
  </si>
  <si>
    <t>I1_3B_2</t>
  </si>
  <si>
    <t>I1_3B_1</t>
  </si>
  <si>
    <t>I1_3A_3</t>
  </si>
  <si>
    <t>I1_3A_2</t>
  </si>
  <si>
    <t>I1_3A_1</t>
  </si>
  <si>
    <t>I1_2B_2</t>
  </si>
  <si>
    <t>Volume RNA (max 6 uL)</t>
  </si>
  <si>
    <t>ng/µl</t>
  </si>
  <si>
    <t>N2_2b_3</t>
  </si>
  <si>
    <t>N2_2b_2</t>
  </si>
  <si>
    <t>N2_2b_1</t>
  </si>
  <si>
    <t>N2_2a_3</t>
  </si>
  <si>
    <t>N2_2a_2</t>
  </si>
  <si>
    <t>N2_2a_1</t>
  </si>
  <si>
    <t>N2_1b_3</t>
  </si>
  <si>
    <t>N2_1b_2</t>
  </si>
  <si>
    <t>N2_1b_1</t>
  </si>
  <si>
    <t>N2_1a_3</t>
  </si>
  <si>
    <t>N2_1a_2</t>
  </si>
  <si>
    <t>N2_1a_1</t>
  </si>
  <si>
    <t>TOC1</t>
  </si>
  <si>
    <t>RVE8</t>
  </si>
  <si>
    <t>PRR7</t>
  </si>
  <si>
    <t>PRR5</t>
  </si>
  <si>
    <t>I1_10B_2</t>
  </si>
  <si>
    <t>N2_1A_2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</si>
</sst>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CDCFF"/>
        <bgColor indexed="64"/>
      </patternFill>
    </fill>
    <fill>
      <patternFill patternType="solid">
        <fgColor rgb="FFC1C1D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</cellStyleXfs>
  <cellXfs count="22">
    <xf numFmtId="0" fontId="0" fillId="0" borderId="0" xfId="0"/>
    <xf numFmtId="0" fontId="18" fillId="0" borderId="0" xfId="42"/>
    <xf numFmtId="164" fontId="18" fillId="0" borderId="0" xfId="42" applyNumberFormat="1"/>
    <xf numFmtId="165" fontId="18" fillId="0" borderId="0" xfId="42" applyNumberFormat="1"/>
    <xf numFmtId="0" fontId="19" fillId="0" borderId="10" xfId="42" applyFont="1" applyBorder="1"/>
    <xf numFmtId="2" fontId="18" fillId="0" borderId="0" xfId="42" applyNumberFormat="1"/>
    <xf numFmtId="0" fontId="19" fillId="33" borderId="10" xfId="42" applyFont="1" applyFill="1" applyBorder="1"/>
    <xf numFmtId="0" fontId="19" fillId="34" borderId="10" xfId="42" applyFont="1" applyFill="1" applyBorder="1"/>
    <xf numFmtId="0" fontId="0" fillId="34" borderId="10" xfId="0" applyFill="1" applyBorder="1"/>
    <xf numFmtId="0" fontId="0" fillId="35" borderId="0" xfId="0" applyFill="1"/>
    <xf numFmtId="0" fontId="0" fillId="0" borderId="0" xfId="0" applyFill="1"/>
    <xf numFmtId="0" fontId="0" fillId="36" borderId="0" xfId="0" applyFill="1"/>
    <xf numFmtId="0" fontId="21" fillId="0" borderId="10" xfId="0" applyFont="1" applyBorder="1" applyAlignment="1">
      <alignment vertical="center"/>
    </xf>
    <xf numFmtId="0" fontId="21" fillId="0" borderId="10" xfId="0" applyFont="1" applyBorder="1" applyAlignment="1">
      <alignment horizontal="right" vertical="center"/>
    </xf>
    <xf numFmtId="0" fontId="20" fillId="0" borderId="10" xfId="0" applyFont="1" applyBorder="1" applyAlignment="1">
      <alignment vertical="center"/>
    </xf>
    <xf numFmtId="0" fontId="20" fillId="0" borderId="10" xfId="0" applyFont="1" applyBorder="1" applyAlignment="1">
      <alignment horizontal="right" vertical="center"/>
    </xf>
    <xf numFmtId="0" fontId="22" fillId="0" borderId="10" xfId="0" applyFont="1" applyFill="1" applyBorder="1" applyAlignment="1">
      <alignment horizontal="right" vertical="center"/>
    </xf>
    <xf numFmtId="0" fontId="22" fillId="0" borderId="10" xfId="0" applyFont="1" applyFill="1" applyBorder="1" applyAlignment="1">
      <alignment vertical="center"/>
    </xf>
    <xf numFmtId="0" fontId="21" fillId="0" borderId="10" xfId="0" applyFont="1" applyFill="1" applyBorder="1" applyAlignment="1">
      <alignment horizontal="right" vertical="center"/>
    </xf>
    <xf numFmtId="0" fontId="21" fillId="0" borderId="10" xfId="0" applyFont="1" applyFill="1" applyBorder="1" applyAlignment="1">
      <alignment vertical="center"/>
    </xf>
    <xf numFmtId="0" fontId="0" fillId="0" borderId="10" xfId="0" applyFill="1" applyBorder="1"/>
    <xf numFmtId="0" fontId="0" fillId="37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2">
    <dxf>
      <font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FBFBF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solid">
          <fgColor rgb="FFBFBFBF"/>
          <bgColor rgb="FF000000"/>
        </patternFill>
      </fill>
    </dxf>
  </dxfs>
  <tableStyles count="0" defaultTableStyle="TableStyleMedium2" defaultPivotStyle="PivotStyleLight16"/>
  <colors>
    <mruColors>
      <color rgb="FFC1C1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G117"/>
  <sheetViews>
    <sheetView workbookViewId="0">
      <selection activeCell="G116" sqref="G116"/>
    </sheetView>
  </sheetViews>
  <sheetFormatPr baseColWidth="10" defaultRowHeight="13" x14ac:dyDescent="0.15"/>
  <cols>
    <col min="1" max="1" width="10.6640625" style="1" customWidth="1"/>
    <col min="2" max="2" width="8.33203125" style="1" customWidth="1"/>
    <col min="3" max="3" width="7.83203125" style="1" customWidth="1"/>
    <col min="4" max="4" width="7.1640625" style="1" customWidth="1"/>
    <col min="5" max="5" width="8" style="1" customWidth="1"/>
    <col min="6" max="6" width="10.83203125" style="1"/>
    <col min="7" max="7" width="12.1640625" style="1" customWidth="1"/>
    <col min="8" max="16384" width="10.83203125" style="1"/>
  </cols>
  <sheetData>
    <row r="2" spans="1:7" x14ac:dyDescent="0.1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</row>
    <row r="3" spans="1:7" x14ac:dyDescent="0.15">
      <c r="A3" s="1" t="s">
        <v>251</v>
      </c>
      <c r="B3" s="1">
        <v>175.3</v>
      </c>
      <c r="C3" s="1" t="s">
        <v>239</v>
      </c>
      <c r="D3" s="1">
        <v>2.14</v>
      </c>
      <c r="E3" s="1">
        <v>0.62</v>
      </c>
      <c r="F3" s="3">
        <v>4.2783799201369082</v>
      </c>
      <c r="G3" s="3">
        <v>1.7216200798630918</v>
      </c>
    </row>
    <row r="4" spans="1:7" x14ac:dyDescent="0.15">
      <c r="A4" s="1" t="s">
        <v>250</v>
      </c>
      <c r="B4" s="1">
        <v>4</v>
      </c>
      <c r="C4" s="1" t="s">
        <v>239</v>
      </c>
      <c r="D4" s="1">
        <v>1.27</v>
      </c>
      <c r="E4" s="1">
        <v>0.15</v>
      </c>
      <c r="F4" s="3">
        <v>6</v>
      </c>
      <c r="G4" s="3">
        <v>0</v>
      </c>
    </row>
    <row r="5" spans="1:7" x14ac:dyDescent="0.15">
      <c r="A5" s="1" t="s">
        <v>249</v>
      </c>
      <c r="B5" s="1">
        <v>363.5</v>
      </c>
      <c r="C5" s="1" t="s">
        <v>239</v>
      </c>
      <c r="D5" s="1">
        <v>2.12</v>
      </c>
      <c r="E5" s="1">
        <v>2.11</v>
      </c>
      <c r="F5" s="3">
        <v>2.0632737276478679</v>
      </c>
      <c r="G5" s="3">
        <v>3.9367262723521321</v>
      </c>
    </row>
    <row r="6" spans="1:7" x14ac:dyDescent="0.15">
      <c r="A6" s="1" t="s">
        <v>248</v>
      </c>
      <c r="B6" s="1">
        <v>151.5</v>
      </c>
      <c r="C6" s="1" t="s">
        <v>239</v>
      </c>
      <c r="D6" s="1">
        <v>2.16</v>
      </c>
      <c r="E6" s="1">
        <v>1.46</v>
      </c>
      <c r="F6" s="3">
        <v>4.9504950495049505</v>
      </c>
      <c r="G6" s="3">
        <v>1.0495049504950495</v>
      </c>
    </row>
    <row r="7" spans="1:7" x14ac:dyDescent="0.15">
      <c r="A7" s="1" t="s">
        <v>247</v>
      </c>
      <c r="B7" s="1">
        <v>383.5</v>
      </c>
      <c r="C7" s="1" t="s">
        <v>239</v>
      </c>
      <c r="D7" s="1">
        <v>1.67</v>
      </c>
      <c r="E7" s="1">
        <v>1.93</v>
      </c>
      <c r="F7" s="3">
        <v>1.955671447196871</v>
      </c>
      <c r="G7" s="3">
        <v>4.0443285528031288</v>
      </c>
    </row>
    <row r="8" spans="1:7" x14ac:dyDescent="0.15">
      <c r="A8" s="1" t="s">
        <v>246</v>
      </c>
      <c r="B8" s="1">
        <v>391.8</v>
      </c>
      <c r="C8" s="1" t="s">
        <v>239</v>
      </c>
      <c r="D8" s="1">
        <v>1.83</v>
      </c>
      <c r="E8" s="1">
        <v>1.17</v>
      </c>
      <c r="F8" s="3">
        <v>1.9142419601837672</v>
      </c>
      <c r="G8" s="3">
        <v>4.0857580398162323</v>
      </c>
    </row>
    <row r="9" spans="1:7" x14ac:dyDescent="0.15">
      <c r="A9" s="1" t="s">
        <v>245</v>
      </c>
      <c r="B9" s="1">
        <v>151.1</v>
      </c>
      <c r="C9" s="1" t="s">
        <v>239</v>
      </c>
      <c r="D9" s="1">
        <v>2.15</v>
      </c>
      <c r="E9" s="1">
        <v>0.87</v>
      </c>
      <c r="F9" s="3">
        <v>4.9636002647253479</v>
      </c>
      <c r="G9" s="3">
        <v>1.0363997352746521</v>
      </c>
    </row>
    <row r="10" spans="1:7" x14ac:dyDescent="0.15">
      <c r="A10" s="1" t="s">
        <v>244</v>
      </c>
      <c r="B10" s="1">
        <v>81.099999999999994</v>
      </c>
      <c r="C10" s="1" t="s">
        <v>239</v>
      </c>
      <c r="D10" s="1">
        <v>1.99</v>
      </c>
      <c r="E10" s="1">
        <v>0.76</v>
      </c>
      <c r="F10" s="3">
        <v>6</v>
      </c>
      <c r="G10" s="3">
        <v>0</v>
      </c>
    </row>
    <row r="11" spans="1:7" x14ac:dyDescent="0.15">
      <c r="A11" s="1" t="s">
        <v>243</v>
      </c>
      <c r="B11" s="1">
        <v>320.39999999999998</v>
      </c>
      <c r="C11" s="1" t="s">
        <v>239</v>
      </c>
      <c r="D11" s="1">
        <v>2.12</v>
      </c>
      <c r="E11" s="1">
        <v>1.77</v>
      </c>
      <c r="F11" s="3">
        <v>2.3408239700374533</v>
      </c>
      <c r="G11" s="3">
        <v>3.6591760299625467</v>
      </c>
    </row>
    <row r="12" spans="1:7" x14ac:dyDescent="0.15">
      <c r="A12" s="1" t="s">
        <v>242</v>
      </c>
      <c r="B12" s="1">
        <v>197.2</v>
      </c>
      <c r="C12" s="1" t="s">
        <v>239</v>
      </c>
      <c r="D12" s="1">
        <v>2.06</v>
      </c>
      <c r="E12" s="1">
        <v>0.97</v>
      </c>
      <c r="F12" s="3">
        <v>3.8032454361054771</v>
      </c>
      <c r="G12" s="3">
        <v>2.1967545638945229</v>
      </c>
    </row>
    <row r="13" spans="1:7" x14ac:dyDescent="0.15">
      <c r="A13" s="1" t="s">
        <v>241</v>
      </c>
      <c r="B13" s="1">
        <v>130.19999999999999</v>
      </c>
      <c r="C13" s="1" t="s">
        <v>239</v>
      </c>
      <c r="D13" s="1">
        <v>2.1800000000000002</v>
      </c>
      <c r="E13" s="1">
        <v>1.86</v>
      </c>
      <c r="F13" s="3">
        <v>5.7603686635944706</v>
      </c>
      <c r="G13" s="3">
        <v>0.23963133640552936</v>
      </c>
    </row>
    <row r="14" spans="1:7" x14ac:dyDescent="0.15">
      <c r="A14" s="1" t="s">
        <v>240</v>
      </c>
      <c r="B14" s="1">
        <v>362.7</v>
      </c>
      <c r="C14" s="1" t="s">
        <v>239</v>
      </c>
      <c r="D14" s="1">
        <v>2.15</v>
      </c>
      <c r="E14" s="1">
        <v>0.84</v>
      </c>
      <c r="F14" s="3">
        <v>2.0678246484698097</v>
      </c>
      <c r="G14" s="3">
        <v>3.9321753515301903</v>
      </c>
    </row>
    <row r="15" spans="1:7" x14ac:dyDescent="0.15">
      <c r="A15" s="1" t="s">
        <v>16</v>
      </c>
      <c r="B15" s="1">
        <v>547.9</v>
      </c>
      <c r="C15" s="1" t="s">
        <v>239</v>
      </c>
      <c r="D15" s="1">
        <v>2.12</v>
      </c>
      <c r="E15" s="1">
        <v>1.1200000000000001</v>
      </c>
      <c r="F15" s="3">
        <v>1.3688629311918235</v>
      </c>
      <c r="G15" s="3">
        <v>4.6311370688081768</v>
      </c>
    </row>
    <row r="16" spans="1:7" x14ac:dyDescent="0.15">
      <c r="A16" s="1" t="s">
        <v>17</v>
      </c>
      <c r="B16" s="1">
        <v>72.5</v>
      </c>
      <c r="C16" s="1" t="s">
        <v>239</v>
      </c>
      <c r="D16" s="1">
        <v>2.15</v>
      </c>
      <c r="E16" s="1">
        <v>0.39</v>
      </c>
      <c r="F16" s="3">
        <v>6</v>
      </c>
      <c r="G16" s="3">
        <v>0</v>
      </c>
    </row>
    <row r="17" spans="1:7" x14ac:dyDescent="0.15">
      <c r="A17" s="1" t="s">
        <v>18</v>
      </c>
      <c r="B17" s="1">
        <v>421.8</v>
      </c>
      <c r="C17" s="1" t="s">
        <v>239</v>
      </c>
      <c r="D17" s="1">
        <v>2.11</v>
      </c>
      <c r="E17" s="1">
        <v>1.36</v>
      </c>
      <c r="F17" s="3">
        <v>1.7780938833570412</v>
      </c>
      <c r="G17" s="3">
        <v>4.221906116642959</v>
      </c>
    </row>
    <row r="18" spans="1:7" x14ac:dyDescent="0.15">
      <c r="A18" s="1" t="s">
        <v>19</v>
      </c>
      <c r="B18" s="1">
        <v>212.7</v>
      </c>
      <c r="C18" s="1" t="s">
        <v>239</v>
      </c>
      <c r="D18" s="1">
        <v>2.15</v>
      </c>
      <c r="E18" s="1">
        <v>0.45</v>
      </c>
      <c r="F18" s="3">
        <v>3.5260930888575461</v>
      </c>
      <c r="G18" s="3">
        <v>2.4739069111424539</v>
      </c>
    </row>
    <row r="19" spans="1:7" x14ac:dyDescent="0.15">
      <c r="A19" s="1" t="s">
        <v>20</v>
      </c>
      <c r="B19" s="1">
        <v>327</v>
      </c>
      <c r="C19" s="1" t="s">
        <v>239</v>
      </c>
      <c r="D19" s="1">
        <v>2.12</v>
      </c>
      <c r="E19" s="1">
        <v>1.29</v>
      </c>
      <c r="F19" s="3">
        <v>2.2935779816513762</v>
      </c>
      <c r="G19" s="3">
        <v>3.7064220183486238</v>
      </c>
    </row>
    <row r="20" spans="1:7" x14ac:dyDescent="0.15">
      <c r="A20" s="1" t="s">
        <v>21</v>
      </c>
      <c r="B20" s="1">
        <v>278.5</v>
      </c>
      <c r="C20" s="1" t="s">
        <v>239</v>
      </c>
      <c r="D20" s="1">
        <v>2.13</v>
      </c>
      <c r="E20" s="1">
        <v>1.68</v>
      </c>
      <c r="F20" s="3">
        <v>2.6929982046678638</v>
      </c>
      <c r="G20" s="3">
        <v>3.3070017953321362</v>
      </c>
    </row>
    <row r="21" spans="1:7" x14ac:dyDescent="0.15">
      <c r="A21" s="1" t="s">
        <v>22</v>
      </c>
      <c r="B21" s="1">
        <v>453.3</v>
      </c>
      <c r="C21" s="1" t="s">
        <v>239</v>
      </c>
      <c r="D21" s="1">
        <v>2.12</v>
      </c>
      <c r="E21" s="1">
        <v>1.94</v>
      </c>
      <c r="F21" s="3">
        <v>1.6545334215751157</v>
      </c>
      <c r="G21" s="3">
        <v>4.345466578424884</v>
      </c>
    </row>
    <row r="22" spans="1:7" x14ac:dyDescent="0.15">
      <c r="A22" s="1" t="s">
        <v>23</v>
      </c>
      <c r="B22" s="1">
        <v>109.6</v>
      </c>
      <c r="C22" s="1" t="s">
        <v>239</v>
      </c>
      <c r="D22" s="1">
        <v>2.12</v>
      </c>
      <c r="E22" s="1">
        <v>0.76</v>
      </c>
      <c r="F22" s="3">
        <v>6</v>
      </c>
      <c r="G22" s="3">
        <v>0</v>
      </c>
    </row>
    <row r="23" spans="1:7" x14ac:dyDescent="0.15">
      <c r="A23" s="1" t="s">
        <v>24</v>
      </c>
      <c r="B23" s="1">
        <v>24.3</v>
      </c>
      <c r="C23" s="1" t="s">
        <v>239</v>
      </c>
      <c r="D23" s="1">
        <v>1.97</v>
      </c>
      <c r="E23" s="1">
        <v>0.5</v>
      </c>
      <c r="F23" s="3">
        <v>6</v>
      </c>
      <c r="G23" s="3">
        <v>0</v>
      </c>
    </row>
    <row r="24" spans="1:7" x14ac:dyDescent="0.15">
      <c r="A24" s="1" t="s">
        <v>25</v>
      </c>
      <c r="B24" s="1">
        <v>431.1</v>
      </c>
      <c r="C24" s="1" t="s">
        <v>239</v>
      </c>
      <c r="D24" s="1">
        <v>2.11</v>
      </c>
      <c r="E24" s="1">
        <v>1.72</v>
      </c>
      <c r="F24" s="3">
        <v>1.7397355601948503</v>
      </c>
      <c r="G24" s="3">
        <v>4.2602644398051499</v>
      </c>
    </row>
    <row r="25" spans="1:7" x14ac:dyDescent="0.15">
      <c r="A25" s="1" t="s">
        <v>26</v>
      </c>
      <c r="B25" s="1">
        <v>107</v>
      </c>
      <c r="C25" s="1" t="s">
        <v>239</v>
      </c>
      <c r="D25" s="1">
        <v>2.15</v>
      </c>
      <c r="E25" s="1">
        <v>0.41</v>
      </c>
      <c r="F25" s="3">
        <v>6</v>
      </c>
      <c r="G25" s="3">
        <v>0</v>
      </c>
    </row>
    <row r="26" spans="1:7" x14ac:dyDescent="0.15">
      <c r="A26" s="1" t="s">
        <v>27</v>
      </c>
      <c r="B26" s="1">
        <v>9.6</v>
      </c>
      <c r="C26" s="1" t="s">
        <v>239</v>
      </c>
      <c r="D26" s="1">
        <v>2.08</v>
      </c>
      <c r="E26" s="1">
        <v>0.03</v>
      </c>
      <c r="F26" s="3">
        <v>6</v>
      </c>
      <c r="G26" s="3">
        <v>0</v>
      </c>
    </row>
    <row r="27" spans="1:7" x14ac:dyDescent="0.15">
      <c r="A27" s="1" t="s">
        <v>28</v>
      </c>
      <c r="B27" s="1">
        <v>20.3</v>
      </c>
      <c r="C27" s="1" t="s">
        <v>239</v>
      </c>
      <c r="D27" s="1">
        <v>1.8</v>
      </c>
      <c r="E27" s="1">
        <v>0.24</v>
      </c>
      <c r="F27" s="3">
        <v>6</v>
      </c>
      <c r="G27" s="3">
        <v>0</v>
      </c>
    </row>
    <row r="28" spans="1:7" x14ac:dyDescent="0.15">
      <c r="A28" s="1" t="s">
        <v>29</v>
      </c>
      <c r="B28" s="1">
        <v>134.1</v>
      </c>
      <c r="C28" s="1" t="s">
        <v>239</v>
      </c>
      <c r="D28" s="1">
        <v>2.06</v>
      </c>
      <c r="E28" s="1">
        <v>0.47</v>
      </c>
      <c r="F28" s="3">
        <v>5.592841163310962</v>
      </c>
      <c r="G28" s="3">
        <v>0.40715883668903796</v>
      </c>
    </row>
    <row r="29" spans="1:7" x14ac:dyDescent="0.15">
      <c r="A29" s="1" t="s">
        <v>30</v>
      </c>
      <c r="B29" s="1">
        <v>25.5</v>
      </c>
      <c r="C29" s="1" t="s">
        <v>239</v>
      </c>
      <c r="D29" s="1">
        <v>1.84</v>
      </c>
      <c r="E29" s="1">
        <v>0.3</v>
      </c>
      <c r="F29" s="3">
        <v>6</v>
      </c>
      <c r="G29" s="3">
        <v>0</v>
      </c>
    </row>
    <row r="30" spans="1:7" x14ac:dyDescent="0.15">
      <c r="A30" s="1" t="s">
        <v>31</v>
      </c>
      <c r="B30" s="1">
        <v>263.89999999999998</v>
      </c>
      <c r="C30" s="1" t="s">
        <v>239</v>
      </c>
      <c r="D30" s="1">
        <v>2.11</v>
      </c>
      <c r="E30" s="1">
        <v>0.86</v>
      </c>
      <c r="F30" s="3">
        <v>2.8419856006062907</v>
      </c>
      <c r="G30" s="3">
        <v>3.1580143993937093</v>
      </c>
    </row>
    <row r="31" spans="1:7" x14ac:dyDescent="0.15">
      <c r="A31" s="1" t="s">
        <v>32</v>
      </c>
      <c r="B31" s="1">
        <v>338</v>
      </c>
      <c r="C31" s="1" t="s">
        <v>239</v>
      </c>
      <c r="D31" s="1">
        <v>2.13</v>
      </c>
      <c r="E31" s="1">
        <v>1.37</v>
      </c>
      <c r="F31" s="3">
        <v>2.2189349112426036</v>
      </c>
      <c r="G31" s="3">
        <v>3.7810650887573964</v>
      </c>
    </row>
    <row r="32" spans="1:7" x14ac:dyDescent="0.15">
      <c r="A32" s="1" t="s">
        <v>33</v>
      </c>
      <c r="B32" s="1">
        <v>531.79999999999995</v>
      </c>
      <c r="C32" s="1" t="s">
        <v>239</v>
      </c>
      <c r="D32" s="1">
        <v>2.12</v>
      </c>
      <c r="E32" s="1">
        <v>1.28</v>
      </c>
      <c r="F32" s="3">
        <v>1.4103046257991727</v>
      </c>
      <c r="G32" s="3">
        <v>4.5896953742008275</v>
      </c>
    </row>
    <row r="33" spans="1:7" x14ac:dyDescent="0.15">
      <c r="A33" s="1" t="s">
        <v>34</v>
      </c>
      <c r="B33" s="1">
        <v>145.80000000000001</v>
      </c>
      <c r="C33" s="1" t="s">
        <v>239</v>
      </c>
      <c r="D33" s="1">
        <v>2.09</v>
      </c>
      <c r="E33" s="1">
        <v>0.53</v>
      </c>
      <c r="F33" s="3">
        <v>5.144032921810699</v>
      </c>
      <c r="G33" s="3">
        <v>0.85596707818930096</v>
      </c>
    </row>
    <row r="34" spans="1:7" x14ac:dyDescent="0.15">
      <c r="A34" s="1" t="s">
        <v>35</v>
      </c>
      <c r="B34" s="1">
        <v>174.8</v>
      </c>
      <c r="C34" s="1" t="s">
        <v>239</v>
      </c>
      <c r="D34" s="1">
        <v>2.0299999999999998</v>
      </c>
      <c r="E34" s="1">
        <v>0.75</v>
      </c>
      <c r="F34" s="3">
        <v>4.2906178489702516</v>
      </c>
      <c r="G34" s="3">
        <v>1.7093821510297484</v>
      </c>
    </row>
    <row r="35" spans="1:7" x14ac:dyDescent="0.15">
      <c r="A35" s="1" t="s">
        <v>36</v>
      </c>
      <c r="B35" s="1">
        <v>202</v>
      </c>
      <c r="C35" s="1" t="s">
        <v>239</v>
      </c>
      <c r="D35" s="1">
        <v>1.62</v>
      </c>
      <c r="E35" s="1">
        <v>0.63</v>
      </c>
      <c r="F35" s="3">
        <v>3.7128712871287131</v>
      </c>
      <c r="G35" s="3">
        <v>2.2871287128712869</v>
      </c>
    </row>
    <row r="36" spans="1:7" x14ac:dyDescent="0.15">
      <c r="A36" s="1" t="s">
        <v>37</v>
      </c>
      <c r="B36" s="1">
        <v>137.80000000000001</v>
      </c>
      <c r="C36" s="1" t="s">
        <v>239</v>
      </c>
      <c r="D36" s="1">
        <v>2.12</v>
      </c>
      <c r="E36" s="1">
        <v>0.6</v>
      </c>
      <c r="F36" s="3">
        <v>5.4426705370101596</v>
      </c>
      <c r="G36" s="3">
        <v>0.55732946298984043</v>
      </c>
    </row>
    <row r="37" spans="1:7" x14ac:dyDescent="0.15">
      <c r="A37" s="1" t="s">
        <v>38</v>
      </c>
      <c r="B37" s="1">
        <v>117.7</v>
      </c>
      <c r="C37" s="1" t="s">
        <v>239</v>
      </c>
      <c r="D37" s="1">
        <v>2.15</v>
      </c>
      <c r="E37" s="1">
        <v>0.87</v>
      </c>
      <c r="F37" s="3">
        <v>6</v>
      </c>
      <c r="G37" s="3">
        <v>0</v>
      </c>
    </row>
    <row r="38" spans="1:7" x14ac:dyDescent="0.15">
      <c r="A38" s="1" t="s">
        <v>39</v>
      </c>
      <c r="B38" s="1">
        <v>137.30000000000001</v>
      </c>
      <c r="C38" s="1" t="s">
        <v>239</v>
      </c>
      <c r="D38" s="1">
        <v>2.17</v>
      </c>
      <c r="E38" s="1">
        <v>2.0699999999999998</v>
      </c>
      <c r="F38" s="3">
        <v>5.4624908958485063</v>
      </c>
      <c r="G38" s="3">
        <v>0.53750910415149367</v>
      </c>
    </row>
    <row r="39" spans="1:7" x14ac:dyDescent="0.15">
      <c r="A39" s="1" t="s">
        <v>40</v>
      </c>
      <c r="B39" s="1">
        <v>437</v>
      </c>
      <c r="C39" s="1" t="s">
        <v>239</v>
      </c>
      <c r="D39" s="1">
        <v>2.13</v>
      </c>
      <c r="E39" s="1">
        <v>1.43</v>
      </c>
      <c r="F39" s="3">
        <v>1.7162471395881007</v>
      </c>
      <c r="G39" s="3">
        <v>4.2837528604118997</v>
      </c>
    </row>
    <row r="40" spans="1:7" x14ac:dyDescent="0.15">
      <c r="A40" s="1" t="s">
        <v>41</v>
      </c>
      <c r="B40" s="1">
        <v>194</v>
      </c>
      <c r="C40" s="1" t="s">
        <v>239</v>
      </c>
      <c r="D40" s="1">
        <v>1.49</v>
      </c>
      <c r="E40" s="1">
        <v>1.1100000000000001</v>
      </c>
      <c r="F40" s="3">
        <v>3.865979381443299</v>
      </c>
      <c r="G40" s="3">
        <v>2.134020618556701</v>
      </c>
    </row>
    <row r="41" spans="1:7" x14ac:dyDescent="0.15">
      <c r="A41" s="1" t="s">
        <v>42</v>
      </c>
      <c r="B41" s="1">
        <v>132.5</v>
      </c>
      <c r="C41" s="1" t="s">
        <v>239</v>
      </c>
      <c r="D41" s="1">
        <v>1.57</v>
      </c>
      <c r="E41" s="1">
        <v>0.98</v>
      </c>
      <c r="F41" s="3">
        <v>5.6603773584905657</v>
      </c>
      <c r="G41" s="3">
        <v>0.33962264150943433</v>
      </c>
    </row>
    <row r="42" spans="1:7" x14ac:dyDescent="0.15">
      <c r="A42" s="1" t="s">
        <v>43</v>
      </c>
      <c r="B42" s="1">
        <v>243.8</v>
      </c>
      <c r="C42" s="1" t="s">
        <v>239</v>
      </c>
      <c r="D42" s="1">
        <v>2.08</v>
      </c>
      <c r="E42" s="1">
        <v>1.65</v>
      </c>
      <c r="F42" s="3">
        <v>3.0762920426579163</v>
      </c>
      <c r="G42" s="3">
        <v>2.9237079573420837</v>
      </c>
    </row>
    <row r="43" spans="1:7" x14ac:dyDescent="0.15">
      <c r="A43" s="1" t="s">
        <v>44</v>
      </c>
      <c r="B43" s="1">
        <v>290.39999999999998</v>
      </c>
      <c r="C43" s="1" t="s">
        <v>239</v>
      </c>
      <c r="D43" s="1">
        <v>1.38</v>
      </c>
      <c r="E43" s="1">
        <v>1.3</v>
      </c>
      <c r="F43" s="3">
        <v>2.5826446280991737</v>
      </c>
      <c r="G43" s="3">
        <v>3.4173553719008263</v>
      </c>
    </row>
    <row r="44" spans="1:7" x14ac:dyDescent="0.15">
      <c r="A44" s="1" t="s">
        <v>45</v>
      </c>
      <c r="B44" s="1">
        <v>267</v>
      </c>
      <c r="C44" s="1" t="s">
        <v>239</v>
      </c>
      <c r="D44" s="1">
        <v>1.74</v>
      </c>
      <c r="E44" s="1">
        <v>0.47</v>
      </c>
      <c r="F44" s="3">
        <v>2.808988764044944</v>
      </c>
      <c r="G44" s="3">
        <v>3.191011235955056</v>
      </c>
    </row>
    <row r="45" spans="1:7" x14ac:dyDescent="0.15">
      <c r="A45" s="1" t="s">
        <v>46</v>
      </c>
      <c r="B45" s="1">
        <v>119.1</v>
      </c>
      <c r="C45" s="1" t="s">
        <v>239</v>
      </c>
      <c r="D45" s="1">
        <v>2.0699999999999998</v>
      </c>
      <c r="E45" s="1">
        <v>0.78</v>
      </c>
      <c r="F45" s="3">
        <v>6</v>
      </c>
      <c r="G45" s="3">
        <v>0</v>
      </c>
    </row>
    <row r="46" spans="1:7" x14ac:dyDescent="0.15">
      <c r="A46" s="1" t="s">
        <v>47</v>
      </c>
      <c r="B46" s="1">
        <v>301.60000000000002</v>
      </c>
      <c r="C46" s="1" t="s">
        <v>239</v>
      </c>
      <c r="D46" s="1">
        <v>2.09</v>
      </c>
      <c r="E46" s="1">
        <v>1.03</v>
      </c>
      <c r="F46" s="3">
        <v>2.4867374005305036</v>
      </c>
      <c r="G46" s="3">
        <v>3.5132625994694964</v>
      </c>
    </row>
    <row r="47" spans="1:7" x14ac:dyDescent="0.15">
      <c r="A47" s="1" t="s">
        <v>48</v>
      </c>
      <c r="B47" s="1">
        <v>611</v>
      </c>
      <c r="C47" s="1" t="s">
        <v>239</v>
      </c>
      <c r="D47" s="1">
        <v>2.09</v>
      </c>
      <c r="E47" s="1">
        <v>1.27</v>
      </c>
      <c r="F47" s="3">
        <v>1.2274959083469721</v>
      </c>
      <c r="G47" s="3">
        <v>4.7725040916530279</v>
      </c>
    </row>
    <row r="48" spans="1:7" x14ac:dyDescent="0.15">
      <c r="A48" s="1" t="s">
        <v>49</v>
      </c>
      <c r="B48" s="1">
        <v>210.4</v>
      </c>
      <c r="C48" s="1" t="s">
        <v>239</v>
      </c>
      <c r="D48" s="1">
        <v>2.11</v>
      </c>
      <c r="E48" s="1">
        <v>0.98</v>
      </c>
      <c r="F48" s="3">
        <v>3.5646387832699618</v>
      </c>
      <c r="G48" s="3">
        <v>2.4353612167300382</v>
      </c>
    </row>
    <row r="49" spans="1:7" x14ac:dyDescent="0.15">
      <c r="A49" s="1" t="s">
        <v>50</v>
      </c>
      <c r="B49" s="1">
        <v>441.6</v>
      </c>
      <c r="C49" s="1" t="s">
        <v>239</v>
      </c>
      <c r="D49" s="1">
        <v>2.12</v>
      </c>
      <c r="E49" s="1">
        <v>1.59</v>
      </c>
      <c r="F49" s="3">
        <v>1.6983695652173911</v>
      </c>
      <c r="G49" s="3">
        <v>4.3016304347826093</v>
      </c>
    </row>
    <row r="50" spans="1:7" x14ac:dyDescent="0.15">
      <c r="A50" s="1" t="s">
        <v>51</v>
      </c>
      <c r="B50" s="1">
        <v>929.4</v>
      </c>
      <c r="C50" s="1" t="s">
        <v>239</v>
      </c>
      <c r="D50" s="1">
        <v>2.08</v>
      </c>
      <c r="E50" s="1">
        <v>0.92</v>
      </c>
      <c r="F50" s="3">
        <v>0.80697224015493874</v>
      </c>
      <c r="G50" s="3">
        <v>5.1930277598450614</v>
      </c>
    </row>
    <row r="51" spans="1:7" x14ac:dyDescent="0.15">
      <c r="A51" s="1" t="s">
        <v>52</v>
      </c>
      <c r="B51" s="1">
        <v>510.5</v>
      </c>
      <c r="C51" s="1" t="s">
        <v>239</v>
      </c>
      <c r="D51" s="1">
        <v>2.16</v>
      </c>
      <c r="E51" s="1">
        <v>0.74</v>
      </c>
      <c r="F51" s="3">
        <v>1.4691478942213516</v>
      </c>
      <c r="G51" s="3">
        <v>4.5308521057786484</v>
      </c>
    </row>
    <row r="52" spans="1:7" x14ac:dyDescent="0.15">
      <c r="A52" s="1" t="s">
        <v>53</v>
      </c>
      <c r="B52" s="1">
        <v>437.7</v>
      </c>
      <c r="C52" s="1" t="s">
        <v>239</v>
      </c>
      <c r="D52" s="1">
        <v>2.15</v>
      </c>
      <c r="E52" s="1">
        <v>1.71</v>
      </c>
      <c r="F52" s="3">
        <v>1.7135023989033584</v>
      </c>
      <c r="G52" s="3">
        <v>4.2864976010966416</v>
      </c>
    </row>
    <row r="53" spans="1:7" x14ac:dyDescent="0.15">
      <c r="A53" s="1" t="s">
        <v>54</v>
      </c>
      <c r="B53" s="1">
        <v>545.4</v>
      </c>
      <c r="C53" s="1" t="s">
        <v>239</v>
      </c>
      <c r="D53" s="1">
        <v>2.04</v>
      </c>
      <c r="E53" s="1">
        <v>1.33</v>
      </c>
      <c r="F53" s="3">
        <v>1.3751375137513753</v>
      </c>
      <c r="G53" s="3">
        <v>4.6248624862486247</v>
      </c>
    </row>
    <row r="54" spans="1:7" x14ac:dyDescent="0.15">
      <c r="A54" s="1" t="s">
        <v>55</v>
      </c>
      <c r="B54" s="1">
        <v>370.7</v>
      </c>
      <c r="C54" s="1" t="s">
        <v>239</v>
      </c>
      <c r="D54" s="1">
        <v>2.08</v>
      </c>
      <c r="E54" s="1">
        <v>1.47</v>
      </c>
      <c r="F54" s="3">
        <v>2.0231993525762073</v>
      </c>
      <c r="G54" s="3">
        <v>3.9768006474237927</v>
      </c>
    </row>
    <row r="55" spans="1:7" x14ac:dyDescent="0.15">
      <c r="A55" s="1" t="s">
        <v>56</v>
      </c>
      <c r="B55" s="1">
        <v>412.4</v>
      </c>
      <c r="C55" s="1" t="s">
        <v>239</v>
      </c>
      <c r="D55" s="1">
        <v>1.87</v>
      </c>
      <c r="E55" s="1">
        <v>1.86</v>
      </c>
      <c r="F55" s="3">
        <v>1.8186226964112513</v>
      </c>
      <c r="G55" s="3">
        <v>4.1813773035887483</v>
      </c>
    </row>
    <row r="56" spans="1:7" x14ac:dyDescent="0.15">
      <c r="A56" s="1" t="s">
        <v>57</v>
      </c>
      <c r="B56" s="1">
        <v>376.1</v>
      </c>
      <c r="C56" s="1" t="s">
        <v>239</v>
      </c>
      <c r="D56" s="1">
        <v>1.78</v>
      </c>
      <c r="E56" s="1">
        <v>0.85</v>
      </c>
      <c r="F56" s="3">
        <v>1.9941504918904545</v>
      </c>
      <c r="G56" s="3">
        <v>4.0058495081095451</v>
      </c>
    </row>
    <row r="57" spans="1:7" x14ac:dyDescent="0.15">
      <c r="A57" s="1" t="s">
        <v>58</v>
      </c>
      <c r="B57" s="1">
        <v>281</v>
      </c>
      <c r="C57" s="1" t="s">
        <v>239</v>
      </c>
      <c r="D57" s="1">
        <v>1.59</v>
      </c>
      <c r="E57" s="1">
        <v>2.14</v>
      </c>
      <c r="F57" s="3">
        <v>2.6690391459074734</v>
      </c>
      <c r="G57" s="3">
        <v>3.3309608540925266</v>
      </c>
    </row>
    <row r="58" spans="1:7" x14ac:dyDescent="0.15">
      <c r="A58" s="1" t="s">
        <v>59</v>
      </c>
      <c r="B58" s="1">
        <v>457.1</v>
      </c>
      <c r="C58" s="1" t="s">
        <v>239</v>
      </c>
      <c r="D58" s="1">
        <v>2</v>
      </c>
      <c r="E58" s="1">
        <v>1.28</v>
      </c>
      <c r="F58" s="3">
        <v>1.6407788230146576</v>
      </c>
      <c r="G58" s="3">
        <v>4.3592211769853426</v>
      </c>
    </row>
    <row r="59" spans="1:7" x14ac:dyDescent="0.15">
      <c r="A59" s="1" t="s">
        <v>60</v>
      </c>
      <c r="B59" s="1">
        <v>520</v>
      </c>
      <c r="C59" s="1" t="s">
        <v>239</v>
      </c>
      <c r="D59" s="1">
        <v>2.12</v>
      </c>
      <c r="E59" s="1">
        <v>1.23</v>
      </c>
      <c r="F59" s="3">
        <v>1.4423076923076923</v>
      </c>
      <c r="G59" s="3">
        <v>4.5576923076923075</v>
      </c>
    </row>
    <row r="60" spans="1:7" x14ac:dyDescent="0.15">
      <c r="A60" s="1" t="s">
        <v>61</v>
      </c>
      <c r="B60" s="1">
        <v>321.60000000000002</v>
      </c>
      <c r="C60" s="1" t="s">
        <v>239</v>
      </c>
      <c r="D60" s="1">
        <v>1.99</v>
      </c>
      <c r="E60" s="1">
        <v>0.84</v>
      </c>
      <c r="F60" s="3">
        <v>2.3320895522388057</v>
      </c>
      <c r="G60" s="3">
        <v>3.6679104477611943</v>
      </c>
    </row>
    <row r="61" spans="1:7" x14ac:dyDescent="0.15">
      <c r="A61" s="1" t="s">
        <v>62</v>
      </c>
      <c r="B61" s="1">
        <v>436.9</v>
      </c>
      <c r="C61" s="1" t="s">
        <v>239</v>
      </c>
      <c r="D61" s="1">
        <v>1.69</v>
      </c>
      <c r="E61" s="1">
        <v>1.54</v>
      </c>
      <c r="F61" s="3">
        <v>1.7166399633783476</v>
      </c>
      <c r="G61" s="3">
        <v>4.2833600366216524</v>
      </c>
    </row>
    <row r="62" spans="1:7" x14ac:dyDescent="0.15">
      <c r="A62" s="1" t="s">
        <v>63</v>
      </c>
      <c r="B62" s="1">
        <v>798.9</v>
      </c>
      <c r="C62" s="1" t="s">
        <v>239</v>
      </c>
      <c r="D62" s="1">
        <v>2.0299999999999998</v>
      </c>
      <c r="E62" s="1">
        <v>2.2200000000000002</v>
      </c>
      <c r="F62" s="3">
        <v>0.93879083740142699</v>
      </c>
      <c r="G62" s="3">
        <v>5.0612091625985727</v>
      </c>
    </row>
    <row r="63" spans="1:7" x14ac:dyDescent="0.15">
      <c r="A63" s="1" t="s">
        <v>64</v>
      </c>
      <c r="B63" s="1">
        <v>314.5</v>
      </c>
      <c r="C63" s="1" t="s">
        <v>239</v>
      </c>
      <c r="D63" s="1">
        <v>1.51</v>
      </c>
      <c r="E63" s="1">
        <v>1.43</v>
      </c>
      <c r="F63" s="3">
        <v>2.3847376788553261</v>
      </c>
      <c r="G63" s="3">
        <v>3.6152623211446739</v>
      </c>
    </row>
    <row r="64" spans="1:7" x14ac:dyDescent="0.15">
      <c r="A64" s="1" t="s">
        <v>65</v>
      </c>
      <c r="B64" s="1">
        <v>132</v>
      </c>
      <c r="C64" s="1" t="s">
        <v>239</v>
      </c>
      <c r="D64" s="1">
        <v>2.16</v>
      </c>
      <c r="E64" s="1">
        <v>0.75</v>
      </c>
      <c r="F64" s="3">
        <v>5.6818181818181817</v>
      </c>
      <c r="G64" s="3">
        <v>0.31818181818181834</v>
      </c>
    </row>
    <row r="65" spans="1:7" x14ac:dyDescent="0.15">
      <c r="A65" s="1" t="s">
        <v>66</v>
      </c>
      <c r="B65" s="1">
        <v>326.89999999999998</v>
      </c>
      <c r="C65" s="1" t="s">
        <v>239</v>
      </c>
      <c r="D65" s="1">
        <v>1.68</v>
      </c>
      <c r="E65" s="1">
        <v>2.46</v>
      </c>
      <c r="F65" s="3">
        <v>2.294279596206791</v>
      </c>
      <c r="G65" s="3">
        <v>3.705720403793209</v>
      </c>
    </row>
    <row r="66" spans="1:7" x14ac:dyDescent="0.15">
      <c r="A66" s="1" t="s">
        <v>67</v>
      </c>
      <c r="B66" s="1">
        <v>556.5</v>
      </c>
      <c r="C66" s="1" t="s">
        <v>239</v>
      </c>
      <c r="D66" s="1">
        <v>1.73</v>
      </c>
      <c r="E66" s="1">
        <v>2.09</v>
      </c>
      <c r="F66" s="3">
        <v>1.3477088948787062</v>
      </c>
      <c r="G66" s="3">
        <v>4.6522911051212938</v>
      </c>
    </row>
    <row r="67" spans="1:7" x14ac:dyDescent="0.15">
      <c r="A67" s="1" t="s">
        <v>68</v>
      </c>
      <c r="B67" s="1">
        <v>725</v>
      </c>
      <c r="C67" s="1" t="s">
        <v>239</v>
      </c>
      <c r="D67" s="1">
        <v>1.88</v>
      </c>
      <c r="E67" s="1">
        <v>1.89</v>
      </c>
      <c r="F67" s="3">
        <v>1.0344827586206897</v>
      </c>
      <c r="G67" s="3">
        <v>4.9655172413793105</v>
      </c>
    </row>
    <row r="68" spans="1:7" x14ac:dyDescent="0.15">
      <c r="A68" s="1" t="s">
        <v>69</v>
      </c>
      <c r="B68" s="1">
        <v>492.4</v>
      </c>
      <c r="C68" s="1" t="s">
        <v>239</v>
      </c>
      <c r="D68" s="1">
        <v>1.85</v>
      </c>
      <c r="E68" s="1">
        <v>1.17</v>
      </c>
      <c r="F68" s="3">
        <v>1.5231519090170593</v>
      </c>
      <c r="G68" s="3">
        <v>4.4768480909829407</v>
      </c>
    </row>
    <row r="69" spans="1:7" x14ac:dyDescent="0.15">
      <c r="A69" s="1" t="s">
        <v>70</v>
      </c>
      <c r="B69" s="1">
        <v>124.8</v>
      </c>
      <c r="C69" s="1" t="s">
        <v>239</v>
      </c>
      <c r="D69" s="1">
        <v>2.12</v>
      </c>
      <c r="E69" s="1">
        <v>0.85</v>
      </c>
      <c r="F69" s="3">
        <v>6</v>
      </c>
      <c r="G69" s="3">
        <v>0</v>
      </c>
    </row>
    <row r="70" spans="1:7" x14ac:dyDescent="0.15">
      <c r="A70" s="1" t="s">
        <v>71</v>
      </c>
      <c r="B70" s="1">
        <v>80.5</v>
      </c>
      <c r="C70" s="1" t="s">
        <v>239</v>
      </c>
      <c r="D70" s="1">
        <v>2.11</v>
      </c>
      <c r="E70" s="1">
        <v>0.66</v>
      </c>
      <c r="F70" s="3">
        <v>6</v>
      </c>
      <c r="G70" s="3">
        <v>0</v>
      </c>
    </row>
    <row r="71" spans="1:7" x14ac:dyDescent="0.15">
      <c r="A71" s="1" t="s">
        <v>72</v>
      </c>
      <c r="B71" s="1">
        <v>3.2</v>
      </c>
      <c r="C71" s="1" t="s">
        <v>239</v>
      </c>
      <c r="D71" s="1">
        <v>1.86</v>
      </c>
      <c r="E71" s="1">
        <v>0.09</v>
      </c>
      <c r="F71" s="3">
        <v>6</v>
      </c>
      <c r="G71" s="3">
        <v>0</v>
      </c>
    </row>
    <row r="72" spans="1:7" x14ac:dyDescent="0.15">
      <c r="A72" s="1" t="s">
        <v>73</v>
      </c>
      <c r="B72" s="1">
        <v>465.5</v>
      </c>
      <c r="C72" s="1" t="s">
        <v>239</v>
      </c>
      <c r="D72" s="1">
        <v>1.46</v>
      </c>
      <c r="E72" s="1">
        <v>2.27</v>
      </c>
      <c r="F72" s="3">
        <v>1.6111707841031149</v>
      </c>
      <c r="G72" s="3">
        <v>4.3888292158968856</v>
      </c>
    </row>
    <row r="73" spans="1:7" x14ac:dyDescent="0.15">
      <c r="A73" s="1" t="s">
        <v>74</v>
      </c>
      <c r="B73" s="1">
        <v>322.3</v>
      </c>
      <c r="C73" s="1" t="s">
        <v>239</v>
      </c>
      <c r="D73" s="1">
        <v>1.96</v>
      </c>
      <c r="E73" s="1">
        <v>1.59</v>
      </c>
      <c r="F73" s="3">
        <v>2.3270245113248524</v>
      </c>
      <c r="G73" s="3">
        <v>3.6729754886751476</v>
      </c>
    </row>
    <row r="74" spans="1:7" x14ac:dyDescent="0.15">
      <c r="A74" s="1" t="s">
        <v>75</v>
      </c>
      <c r="B74" s="1">
        <v>269.89999999999998</v>
      </c>
      <c r="C74" s="1" t="s">
        <v>239</v>
      </c>
      <c r="D74" s="1">
        <v>1.63</v>
      </c>
      <c r="E74" s="1">
        <v>1.28</v>
      </c>
      <c r="F74" s="3">
        <v>2.778806965542794</v>
      </c>
      <c r="G74" s="3">
        <v>3.221193034457206</v>
      </c>
    </row>
    <row r="75" spans="1:7" x14ac:dyDescent="0.15">
      <c r="A75" s="1" t="s">
        <v>76</v>
      </c>
      <c r="B75" s="1">
        <v>639</v>
      </c>
      <c r="C75" s="1" t="s">
        <v>239</v>
      </c>
      <c r="D75" s="1">
        <v>1.66</v>
      </c>
      <c r="E75" s="1">
        <v>2.35</v>
      </c>
      <c r="F75" s="3">
        <v>1.1737089201877935</v>
      </c>
      <c r="G75" s="3">
        <v>4.8262910798122061</v>
      </c>
    </row>
    <row r="76" spans="1:7" x14ac:dyDescent="0.15">
      <c r="A76" s="1" t="s">
        <v>77</v>
      </c>
      <c r="B76" s="1">
        <v>139.80000000000001</v>
      </c>
      <c r="C76" s="1" t="s">
        <v>239</v>
      </c>
      <c r="D76" s="1">
        <v>2.15</v>
      </c>
      <c r="E76" s="1">
        <v>0.52</v>
      </c>
      <c r="F76" s="3">
        <v>5.3648068669527893</v>
      </c>
      <c r="G76" s="3">
        <v>0.6351931330472107</v>
      </c>
    </row>
    <row r="77" spans="1:7" x14ac:dyDescent="0.15">
      <c r="A77" s="1" t="s">
        <v>78</v>
      </c>
      <c r="B77" s="1">
        <v>333</v>
      </c>
      <c r="C77" s="1" t="s">
        <v>239</v>
      </c>
      <c r="D77" s="1">
        <v>2.11</v>
      </c>
      <c r="E77" s="1">
        <v>1.04</v>
      </c>
      <c r="F77" s="3">
        <v>2.2522522522522523</v>
      </c>
      <c r="G77" s="3">
        <v>3.7477477477477477</v>
      </c>
    </row>
    <row r="78" spans="1:7" x14ac:dyDescent="0.15">
      <c r="A78" s="1" t="s">
        <v>79</v>
      </c>
      <c r="B78" s="1">
        <v>97.2</v>
      </c>
      <c r="C78" s="1" t="s">
        <v>239</v>
      </c>
      <c r="D78" s="1">
        <v>2.1800000000000002</v>
      </c>
      <c r="E78" s="1">
        <v>0.35</v>
      </c>
      <c r="F78" s="3">
        <v>6</v>
      </c>
      <c r="G78" s="3">
        <v>0</v>
      </c>
    </row>
    <row r="79" spans="1:7" x14ac:dyDescent="0.15">
      <c r="A79" s="1" t="s">
        <v>80</v>
      </c>
      <c r="B79" s="1">
        <v>471.5</v>
      </c>
      <c r="C79" s="1" t="s">
        <v>239</v>
      </c>
      <c r="D79" s="1">
        <v>2.12</v>
      </c>
      <c r="E79" s="1">
        <v>0.92</v>
      </c>
      <c r="F79" s="3">
        <v>1.5906680805938493</v>
      </c>
      <c r="G79" s="3">
        <v>4.4093319194061511</v>
      </c>
    </row>
    <row r="80" spans="1:7" x14ac:dyDescent="0.15">
      <c r="A80" s="1" t="s">
        <v>81</v>
      </c>
      <c r="B80" s="1">
        <v>347.2</v>
      </c>
      <c r="C80" s="1" t="s">
        <v>239</v>
      </c>
      <c r="D80" s="1">
        <v>2.02</v>
      </c>
      <c r="E80" s="1">
        <v>0.98</v>
      </c>
      <c r="F80" s="3">
        <v>2.1601382488479262</v>
      </c>
      <c r="G80" s="3">
        <v>3.8398617511520738</v>
      </c>
    </row>
    <row r="81" spans="1:7" x14ac:dyDescent="0.15">
      <c r="A81" s="1" t="s">
        <v>82</v>
      </c>
      <c r="B81" s="1">
        <v>137.4</v>
      </c>
      <c r="C81" s="1" t="s">
        <v>239</v>
      </c>
      <c r="D81" s="1">
        <v>2.02</v>
      </c>
      <c r="E81" s="1">
        <v>0.71</v>
      </c>
      <c r="F81" s="3">
        <v>5.4585152838427948</v>
      </c>
      <c r="G81" s="3">
        <v>0.54148471615720517</v>
      </c>
    </row>
    <row r="82" spans="1:7" x14ac:dyDescent="0.15">
      <c r="A82" s="1" t="s">
        <v>83</v>
      </c>
      <c r="B82" s="1">
        <v>559.29999999999995</v>
      </c>
      <c r="C82" s="1" t="s">
        <v>239</v>
      </c>
      <c r="D82" s="1">
        <v>1.65</v>
      </c>
      <c r="E82" s="1">
        <v>1.33</v>
      </c>
      <c r="F82" s="3">
        <v>1.3409619166815663</v>
      </c>
      <c r="G82" s="3">
        <v>4.6590380833184337</v>
      </c>
    </row>
    <row r="83" spans="1:7" x14ac:dyDescent="0.15">
      <c r="A83" s="1" t="s">
        <v>84</v>
      </c>
      <c r="B83" s="1">
        <v>533.29999999999995</v>
      </c>
      <c r="C83" s="1" t="s">
        <v>239</v>
      </c>
      <c r="D83" s="1">
        <v>1.72</v>
      </c>
      <c r="E83" s="1">
        <v>1.69</v>
      </c>
      <c r="F83" s="3">
        <v>1.4063378961185076</v>
      </c>
      <c r="G83" s="3">
        <v>4.593662103881492</v>
      </c>
    </row>
    <row r="84" spans="1:7" x14ac:dyDescent="0.15">
      <c r="A84" s="1" t="s">
        <v>85</v>
      </c>
      <c r="B84" s="1">
        <v>254</v>
      </c>
      <c r="C84" s="1" t="s">
        <v>239</v>
      </c>
      <c r="D84" s="1">
        <v>1.68</v>
      </c>
      <c r="E84" s="1">
        <v>1.49</v>
      </c>
      <c r="F84" s="3">
        <v>2.9527559055118111</v>
      </c>
      <c r="G84" s="3">
        <v>3.0472440944881889</v>
      </c>
    </row>
    <row r="85" spans="1:7" x14ac:dyDescent="0.15">
      <c r="A85" s="1" t="s">
        <v>86</v>
      </c>
      <c r="B85" s="1">
        <v>388.4</v>
      </c>
      <c r="C85" s="1" t="s">
        <v>239</v>
      </c>
      <c r="D85" s="1">
        <v>2.14</v>
      </c>
      <c r="E85" s="1">
        <v>0.91</v>
      </c>
      <c r="F85" s="3">
        <v>1.9309989701338828</v>
      </c>
      <c r="G85" s="3">
        <v>4.0690010298661168</v>
      </c>
    </row>
    <row r="86" spans="1:7" x14ac:dyDescent="0.15">
      <c r="A86" s="1" t="s">
        <v>87</v>
      </c>
      <c r="B86" s="1">
        <v>95.5</v>
      </c>
      <c r="C86" s="1" t="s">
        <v>239</v>
      </c>
      <c r="D86" s="1">
        <v>2.17</v>
      </c>
      <c r="E86" s="1">
        <v>0.85</v>
      </c>
      <c r="F86" s="3">
        <v>6</v>
      </c>
      <c r="G86" s="3">
        <v>0</v>
      </c>
    </row>
    <row r="87" spans="1:7" x14ac:dyDescent="0.15">
      <c r="A87" s="1" t="s">
        <v>88</v>
      </c>
      <c r="B87" s="1">
        <v>296.8</v>
      </c>
      <c r="C87" s="1" t="s">
        <v>239</v>
      </c>
      <c r="D87" s="1">
        <v>2.08</v>
      </c>
      <c r="E87" s="1">
        <v>1.51</v>
      </c>
      <c r="F87" s="3">
        <v>2.5269541778975739</v>
      </c>
      <c r="G87" s="3">
        <v>3.4730458221024261</v>
      </c>
    </row>
    <row r="88" spans="1:7" x14ac:dyDescent="0.15">
      <c r="A88" s="1" t="s">
        <v>89</v>
      </c>
      <c r="B88" s="1">
        <v>5</v>
      </c>
      <c r="C88" s="1" t="s">
        <v>239</v>
      </c>
      <c r="D88" s="1">
        <v>1.66</v>
      </c>
      <c r="E88" s="1">
        <v>0.08</v>
      </c>
      <c r="F88" s="3">
        <v>6</v>
      </c>
      <c r="G88" s="3">
        <v>0</v>
      </c>
    </row>
    <row r="89" spans="1:7" x14ac:dyDescent="0.15">
      <c r="A89" s="1" t="s">
        <v>90</v>
      </c>
      <c r="B89" s="1">
        <v>403.8</v>
      </c>
      <c r="C89" s="1" t="s">
        <v>239</v>
      </c>
      <c r="D89" s="1">
        <v>2.12</v>
      </c>
      <c r="E89" s="1">
        <v>1.23</v>
      </c>
      <c r="F89" s="3">
        <v>1.8573551263001484</v>
      </c>
      <c r="G89" s="3">
        <v>4.1426448736998518</v>
      </c>
    </row>
    <row r="90" spans="1:7" x14ac:dyDescent="0.15">
      <c r="A90" s="1" t="s">
        <v>91</v>
      </c>
      <c r="B90" s="1">
        <v>479.3</v>
      </c>
      <c r="C90" s="1" t="s">
        <v>239</v>
      </c>
      <c r="D90" s="1">
        <v>1.78</v>
      </c>
      <c r="E90" s="1">
        <v>2.09</v>
      </c>
      <c r="F90" s="3">
        <v>1.5647819737116628</v>
      </c>
      <c r="G90" s="3">
        <v>4.4352180262883376</v>
      </c>
    </row>
    <row r="91" spans="1:7" x14ac:dyDescent="0.15">
      <c r="A91" s="1" t="s">
        <v>92</v>
      </c>
      <c r="B91" s="1">
        <v>393.6</v>
      </c>
      <c r="C91" s="1" t="s">
        <v>239</v>
      </c>
      <c r="D91" s="1">
        <v>1.89</v>
      </c>
      <c r="E91" s="1">
        <v>0.82</v>
      </c>
      <c r="F91" s="3">
        <v>1.9054878048780486</v>
      </c>
      <c r="G91" s="3">
        <v>4.0945121951219514</v>
      </c>
    </row>
    <row r="92" spans="1:7" x14ac:dyDescent="0.15">
      <c r="A92" s="1" t="s">
        <v>93</v>
      </c>
      <c r="B92" s="1">
        <v>201.3</v>
      </c>
      <c r="C92" s="1" t="s">
        <v>239</v>
      </c>
      <c r="D92" s="1">
        <v>2.13</v>
      </c>
      <c r="E92" s="1">
        <v>1.74</v>
      </c>
      <c r="F92" s="3">
        <v>3.7257824143070044</v>
      </c>
      <c r="G92" s="3">
        <v>2.2742175856929956</v>
      </c>
    </row>
    <row r="93" spans="1:7" x14ac:dyDescent="0.15">
      <c r="A93" s="1" t="s">
        <v>94</v>
      </c>
      <c r="B93" s="1">
        <v>90.4</v>
      </c>
      <c r="C93" s="1" t="s">
        <v>239</v>
      </c>
      <c r="D93" s="1">
        <v>2.0699999999999998</v>
      </c>
      <c r="E93" s="1">
        <v>1.18</v>
      </c>
      <c r="F93" s="3">
        <v>6</v>
      </c>
      <c r="G93" s="3">
        <v>0</v>
      </c>
    </row>
    <row r="94" spans="1:7" x14ac:dyDescent="0.15">
      <c r="A94" s="1" t="s">
        <v>95</v>
      </c>
      <c r="B94" s="1">
        <v>385.6</v>
      </c>
      <c r="C94" s="1" t="s">
        <v>239</v>
      </c>
      <c r="D94" s="1">
        <v>1.83</v>
      </c>
      <c r="E94" s="1">
        <v>1.36</v>
      </c>
      <c r="F94" s="3">
        <v>1.9450207468879668</v>
      </c>
      <c r="G94" s="3">
        <v>4.054979253112033</v>
      </c>
    </row>
    <row r="95" spans="1:7" x14ac:dyDescent="0.15">
      <c r="A95" s="1" t="s">
        <v>96</v>
      </c>
      <c r="B95" s="1">
        <v>389.7</v>
      </c>
      <c r="C95" s="1" t="s">
        <v>239</v>
      </c>
      <c r="D95" s="1">
        <v>1.9</v>
      </c>
      <c r="E95" s="1">
        <v>1.41</v>
      </c>
      <c r="F95" s="3">
        <v>1.9245573518090839</v>
      </c>
      <c r="G95" s="3">
        <v>4.0754426481909158</v>
      </c>
    </row>
    <row r="96" spans="1:7" x14ac:dyDescent="0.15">
      <c r="A96" s="1" t="s">
        <v>97</v>
      </c>
      <c r="B96" s="1">
        <v>474.2</v>
      </c>
      <c r="C96" s="1" t="s">
        <v>239</v>
      </c>
      <c r="D96" s="1">
        <v>2.14</v>
      </c>
      <c r="E96" s="1">
        <v>1.53</v>
      </c>
      <c r="F96" s="3">
        <v>1.5816111345423871</v>
      </c>
      <c r="G96" s="3">
        <v>4.4183888654576133</v>
      </c>
    </row>
    <row r="97" spans="1:7" x14ac:dyDescent="0.15">
      <c r="A97" s="1" t="s">
        <v>98</v>
      </c>
      <c r="B97" s="1">
        <v>382.2</v>
      </c>
      <c r="C97" s="1" t="s">
        <v>239</v>
      </c>
      <c r="D97" s="1">
        <v>1.84</v>
      </c>
      <c r="E97" s="1">
        <v>1.07</v>
      </c>
      <c r="F97" s="3">
        <v>1.9623233908948194</v>
      </c>
      <c r="G97" s="3">
        <v>4.0376766091051808</v>
      </c>
    </row>
    <row r="98" spans="1:7" x14ac:dyDescent="0.15">
      <c r="A98" s="1" t="s">
        <v>99</v>
      </c>
      <c r="B98" s="1">
        <v>455.1</v>
      </c>
      <c r="C98" s="1" t="s">
        <v>239</v>
      </c>
      <c r="D98" s="1">
        <v>1.96</v>
      </c>
      <c r="E98" s="1">
        <v>1.08</v>
      </c>
      <c r="F98" s="3">
        <v>1.6479894528675016</v>
      </c>
      <c r="G98" s="3">
        <v>4.3520105471324984</v>
      </c>
    </row>
    <row r="99" spans="1:7" x14ac:dyDescent="0.15">
      <c r="A99" s="1" t="s">
        <v>100</v>
      </c>
      <c r="B99" s="1">
        <v>439.5</v>
      </c>
      <c r="C99" s="1" t="s">
        <v>239</v>
      </c>
      <c r="D99" s="1">
        <v>1.9</v>
      </c>
      <c r="E99" s="1">
        <v>1.6</v>
      </c>
      <c r="F99" s="3">
        <v>1.7064846416382253</v>
      </c>
      <c r="G99" s="3">
        <v>4.2935153583617751</v>
      </c>
    </row>
    <row r="100" spans="1:7" x14ac:dyDescent="0.15">
      <c r="A100" s="1" t="s">
        <v>101</v>
      </c>
      <c r="B100" s="1">
        <v>288.89999999999998</v>
      </c>
      <c r="C100" s="1" t="s">
        <v>239</v>
      </c>
      <c r="D100" s="1">
        <v>1.91</v>
      </c>
      <c r="E100" s="1">
        <v>2.0299999999999998</v>
      </c>
      <c r="F100" s="3">
        <v>2.5960539979231569</v>
      </c>
      <c r="G100" s="3">
        <v>3.4039460020768431</v>
      </c>
    </row>
    <row r="101" spans="1:7" x14ac:dyDescent="0.15">
      <c r="A101" s="1" t="s">
        <v>102</v>
      </c>
      <c r="B101" s="1">
        <v>108.4</v>
      </c>
      <c r="C101" s="1" t="s">
        <v>239</v>
      </c>
      <c r="D101" s="1">
        <v>2.1</v>
      </c>
      <c r="E101" s="1">
        <v>0.91</v>
      </c>
      <c r="F101" s="3">
        <v>6</v>
      </c>
      <c r="G101" s="3">
        <v>0</v>
      </c>
    </row>
    <row r="102" spans="1:7" x14ac:dyDescent="0.15">
      <c r="A102" s="1" t="s">
        <v>103</v>
      </c>
      <c r="B102" s="1">
        <v>238.7</v>
      </c>
      <c r="C102" s="1" t="s">
        <v>239</v>
      </c>
      <c r="D102" s="1">
        <v>2.1</v>
      </c>
      <c r="E102" s="1">
        <v>1.6</v>
      </c>
      <c r="F102" s="3">
        <v>3.1420192710515291</v>
      </c>
      <c r="G102" s="3">
        <v>2.8579807289484709</v>
      </c>
    </row>
    <row r="103" spans="1:7" x14ac:dyDescent="0.15">
      <c r="A103" s="1" t="s">
        <v>104</v>
      </c>
      <c r="B103" s="1">
        <v>267.8</v>
      </c>
      <c r="C103" s="1" t="s">
        <v>239</v>
      </c>
      <c r="D103" s="1">
        <v>2.13</v>
      </c>
      <c r="E103" s="1">
        <v>2</v>
      </c>
      <c r="F103" s="3">
        <v>2.8005974607916353</v>
      </c>
      <c r="G103" s="3">
        <v>3.1994025392083647</v>
      </c>
    </row>
    <row r="104" spans="1:7" x14ac:dyDescent="0.15">
      <c r="A104" s="1" t="s">
        <v>105</v>
      </c>
      <c r="B104" s="1">
        <v>68.099999999999994</v>
      </c>
      <c r="C104" s="1" t="s">
        <v>239</v>
      </c>
      <c r="D104" s="1">
        <v>2.12</v>
      </c>
      <c r="E104" s="1">
        <v>0.61</v>
      </c>
      <c r="F104" s="3">
        <v>6</v>
      </c>
      <c r="G104" s="3">
        <v>0</v>
      </c>
    </row>
    <row r="105" spans="1:7" x14ac:dyDescent="0.15">
      <c r="A105" s="1" t="s">
        <v>106</v>
      </c>
      <c r="B105" s="1">
        <v>173.6</v>
      </c>
      <c r="C105" s="1" t="s">
        <v>239</v>
      </c>
      <c r="D105" s="1">
        <v>2.13</v>
      </c>
      <c r="E105" s="1">
        <v>1.72</v>
      </c>
      <c r="F105" s="3">
        <v>4.3202764976958523</v>
      </c>
      <c r="G105" s="3">
        <v>1.6797235023041477</v>
      </c>
    </row>
    <row r="106" spans="1:7" x14ac:dyDescent="0.15">
      <c r="A106" s="1" t="s">
        <v>107</v>
      </c>
      <c r="B106" s="1">
        <v>118.2</v>
      </c>
      <c r="C106" s="1" t="s">
        <v>239</v>
      </c>
      <c r="D106" s="1">
        <v>2.1</v>
      </c>
      <c r="E106" s="1">
        <v>1.83</v>
      </c>
      <c r="F106" s="3">
        <v>6</v>
      </c>
      <c r="G106" s="3">
        <v>0</v>
      </c>
    </row>
    <row r="107" spans="1:7" x14ac:dyDescent="0.15">
      <c r="A107" s="1" t="s">
        <v>108</v>
      </c>
      <c r="B107" s="1">
        <v>234.9</v>
      </c>
      <c r="C107" s="1" t="s">
        <v>239</v>
      </c>
      <c r="D107" s="1">
        <v>1.66</v>
      </c>
      <c r="E107" s="1">
        <v>2.63</v>
      </c>
      <c r="F107" s="3">
        <v>3.1928480204342273</v>
      </c>
      <c r="G107" s="3">
        <v>2.8071519795657727</v>
      </c>
    </row>
    <row r="108" spans="1:7" x14ac:dyDescent="0.15">
      <c r="A108" s="1" t="s">
        <v>109</v>
      </c>
      <c r="B108" s="1">
        <v>582.9</v>
      </c>
      <c r="C108" s="1" t="s">
        <v>239</v>
      </c>
      <c r="D108" s="1">
        <v>1.88</v>
      </c>
      <c r="E108" s="1">
        <v>1.44</v>
      </c>
      <c r="F108" s="3">
        <v>1.2866700977869274</v>
      </c>
      <c r="G108" s="3">
        <v>4.7133299022130721</v>
      </c>
    </row>
    <row r="109" spans="1:7" x14ac:dyDescent="0.15">
      <c r="A109" s="1" t="s">
        <v>110</v>
      </c>
      <c r="B109" s="1">
        <v>367</v>
      </c>
      <c r="C109" s="1" t="s">
        <v>239</v>
      </c>
      <c r="D109" s="1">
        <v>2.15</v>
      </c>
      <c r="E109" s="1">
        <v>1.83</v>
      </c>
      <c r="F109" s="3">
        <v>2.0435967302452318</v>
      </c>
      <c r="G109" s="3">
        <v>3.9564032697547682</v>
      </c>
    </row>
    <row r="110" spans="1:7" x14ac:dyDescent="0.15">
      <c r="A110" s="1" t="s">
        <v>111</v>
      </c>
      <c r="B110" s="1">
        <v>493</v>
      </c>
      <c r="C110" s="1" t="s">
        <v>239</v>
      </c>
      <c r="D110" s="1">
        <v>2.14</v>
      </c>
      <c r="E110" s="1">
        <v>1.48</v>
      </c>
      <c r="F110" s="3">
        <v>1.5212981744421907</v>
      </c>
      <c r="G110" s="3">
        <v>4.4787018255578097</v>
      </c>
    </row>
    <row r="111" spans="1:7" x14ac:dyDescent="0.15">
      <c r="A111" s="1" t="s">
        <v>112</v>
      </c>
      <c r="B111" s="1">
        <v>119</v>
      </c>
      <c r="C111" s="1" t="s">
        <v>239</v>
      </c>
      <c r="D111" s="1">
        <v>2.0699999999999998</v>
      </c>
      <c r="E111" s="1">
        <v>1.49</v>
      </c>
      <c r="F111" s="3">
        <v>6</v>
      </c>
      <c r="G111" s="3">
        <v>0</v>
      </c>
    </row>
    <row r="112" spans="1:7" x14ac:dyDescent="0.15">
      <c r="A112" s="1" t="s">
        <v>113</v>
      </c>
      <c r="B112" s="1">
        <v>274</v>
      </c>
      <c r="C112" s="1" t="s">
        <v>239</v>
      </c>
      <c r="D112" s="1">
        <v>2.14</v>
      </c>
      <c r="E112" s="1">
        <v>1.77</v>
      </c>
      <c r="F112" s="3">
        <v>2.7372262773722627</v>
      </c>
      <c r="G112" s="3">
        <v>3.2627737226277373</v>
      </c>
    </row>
    <row r="113" spans="1:7" x14ac:dyDescent="0.15">
      <c r="A113" s="1" t="s">
        <v>114</v>
      </c>
      <c r="B113" s="1">
        <v>311.7</v>
      </c>
      <c r="C113" s="1" t="s">
        <v>239</v>
      </c>
      <c r="D113" s="1">
        <v>1.73</v>
      </c>
      <c r="E113" s="1">
        <v>2.1800000000000002</v>
      </c>
      <c r="F113" s="3">
        <v>2.4061597690086622</v>
      </c>
      <c r="G113" s="3">
        <v>3.5938402309913378</v>
      </c>
    </row>
    <row r="114" spans="1:7" x14ac:dyDescent="0.15">
      <c r="A114" s="1" t="s">
        <v>115</v>
      </c>
      <c r="B114" s="1">
        <v>224.2</v>
      </c>
      <c r="C114" s="1" t="s">
        <v>239</v>
      </c>
      <c r="D114" s="1">
        <v>1.66</v>
      </c>
      <c r="E114" s="1">
        <v>1.95</v>
      </c>
      <c r="F114" s="3">
        <v>3.3452274754683322</v>
      </c>
      <c r="G114" s="3">
        <v>2.6547725245316678</v>
      </c>
    </row>
    <row r="115" spans="1:7" x14ac:dyDescent="0.15">
      <c r="A115" s="1" t="s">
        <v>116</v>
      </c>
      <c r="B115" s="1">
        <v>349.6</v>
      </c>
      <c r="C115" s="1" t="s">
        <v>239</v>
      </c>
      <c r="D115" s="1">
        <v>1.62</v>
      </c>
      <c r="E115" s="1">
        <v>1.24</v>
      </c>
      <c r="F115" s="3">
        <v>2.1453089244851258</v>
      </c>
      <c r="G115" s="3">
        <v>3.8546910755148742</v>
      </c>
    </row>
    <row r="116" spans="1:7" x14ac:dyDescent="0.15">
      <c r="A116" s="1" t="s">
        <v>117</v>
      </c>
      <c r="B116" s="1">
        <v>95.7</v>
      </c>
      <c r="C116" s="1" t="s">
        <v>239</v>
      </c>
      <c r="D116" s="1">
        <v>2.15</v>
      </c>
      <c r="E116" s="1">
        <v>1.61</v>
      </c>
      <c r="F116" s="3">
        <v>6</v>
      </c>
      <c r="G116" s="3">
        <v>0</v>
      </c>
    </row>
    <row r="117" spans="1:7" x14ac:dyDescent="0.15">
      <c r="D117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14"/>
  <sheetViews>
    <sheetView topLeftCell="A69" workbookViewId="0">
      <selection activeCell="A95" sqref="A95"/>
    </sheetView>
  </sheetViews>
  <sheetFormatPr baseColWidth="10" defaultRowHeight="13" x14ac:dyDescent="0.15"/>
  <cols>
    <col min="1" max="1" width="8.83203125" style="1" customWidth="1"/>
    <col min="2" max="2" width="7.6640625" style="1" customWidth="1"/>
    <col min="3" max="3" width="5.83203125" style="1" customWidth="1"/>
    <col min="4" max="4" width="6.1640625" style="1" customWidth="1"/>
    <col min="5" max="5" width="6.5" style="1" customWidth="1"/>
    <col min="6" max="7" width="5.83203125" style="1" customWidth="1"/>
    <col min="8" max="16384" width="10.83203125" style="1"/>
  </cols>
  <sheetData>
    <row r="1" spans="1:7" x14ac:dyDescent="0.1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238</v>
      </c>
      <c r="G1" s="6" t="s">
        <v>6</v>
      </c>
    </row>
    <row r="2" spans="1:7" x14ac:dyDescent="0.15">
      <c r="A2" s="1" t="s">
        <v>132</v>
      </c>
      <c r="B2" s="1">
        <v>392.9</v>
      </c>
      <c r="C2" s="1" t="s">
        <v>239</v>
      </c>
      <c r="D2" s="1">
        <v>2.04</v>
      </c>
      <c r="E2" s="1">
        <v>1.72</v>
      </c>
      <c r="F2" s="5">
        <v>1.9088826673453807</v>
      </c>
      <c r="G2" s="5">
        <v>4.0911173326546191</v>
      </c>
    </row>
    <row r="3" spans="1:7" x14ac:dyDescent="0.15">
      <c r="A3" s="1" t="s">
        <v>202</v>
      </c>
      <c r="B3" s="1">
        <v>74.8</v>
      </c>
      <c r="C3" s="1" t="s">
        <v>239</v>
      </c>
      <c r="D3" s="1">
        <v>2.2999999999999998</v>
      </c>
      <c r="E3" s="1">
        <v>1.44</v>
      </c>
      <c r="F3" s="5">
        <v>6</v>
      </c>
      <c r="G3" s="5">
        <v>0</v>
      </c>
    </row>
    <row r="4" spans="1:7" x14ac:dyDescent="0.15">
      <c r="A4" s="1" t="s">
        <v>176</v>
      </c>
      <c r="B4" s="1">
        <v>90.7</v>
      </c>
      <c r="C4" s="1" t="s">
        <v>239</v>
      </c>
      <c r="D4" s="1">
        <v>1.35</v>
      </c>
      <c r="E4" s="1">
        <v>0.8</v>
      </c>
      <c r="F4" s="5">
        <v>6</v>
      </c>
      <c r="G4" s="5">
        <v>0</v>
      </c>
    </row>
    <row r="5" spans="1:7" x14ac:dyDescent="0.15">
      <c r="A5" s="1" t="s">
        <v>131</v>
      </c>
      <c r="B5" s="1">
        <v>156</v>
      </c>
      <c r="C5" s="1" t="s">
        <v>239</v>
      </c>
      <c r="D5" s="1">
        <v>1.6</v>
      </c>
      <c r="E5" s="1">
        <v>0.87</v>
      </c>
      <c r="F5" s="5">
        <v>4.8076923076923075</v>
      </c>
      <c r="G5" s="5">
        <v>1.1923076923076925</v>
      </c>
    </row>
    <row r="6" spans="1:7" x14ac:dyDescent="0.15">
      <c r="A6" s="1" t="s">
        <v>201</v>
      </c>
      <c r="B6" s="1">
        <v>214.9</v>
      </c>
      <c r="C6" s="1" t="s">
        <v>239</v>
      </c>
      <c r="D6" s="1">
        <v>2.0499999999999998</v>
      </c>
      <c r="E6" s="1">
        <v>1.72</v>
      </c>
      <c r="F6" s="5">
        <v>3.4899953466728708</v>
      </c>
      <c r="G6" s="5">
        <v>2.5100046533271292</v>
      </c>
    </row>
    <row r="7" spans="1:7" x14ac:dyDescent="0.15">
      <c r="A7" s="1" t="s">
        <v>175</v>
      </c>
      <c r="B7" s="1">
        <v>262.7</v>
      </c>
      <c r="C7" s="1" t="s">
        <v>239</v>
      </c>
      <c r="D7" s="1">
        <v>2.21</v>
      </c>
      <c r="E7" s="1">
        <v>2.31</v>
      </c>
      <c r="F7" s="5">
        <v>2.854967643700038</v>
      </c>
      <c r="G7" s="5">
        <v>3.145032356299962</v>
      </c>
    </row>
    <row r="8" spans="1:7" x14ac:dyDescent="0.15">
      <c r="A8" s="1" t="s">
        <v>130</v>
      </c>
      <c r="B8" s="1">
        <v>82.4</v>
      </c>
      <c r="C8" s="1" t="s">
        <v>239</v>
      </c>
      <c r="D8" s="1">
        <v>2.36</v>
      </c>
      <c r="E8" s="1">
        <v>1.22</v>
      </c>
      <c r="F8" s="5">
        <v>6</v>
      </c>
      <c r="G8" s="5">
        <v>0</v>
      </c>
    </row>
    <row r="9" spans="1:7" x14ac:dyDescent="0.15">
      <c r="A9" s="1" t="s">
        <v>200</v>
      </c>
      <c r="B9" s="1">
        <v>183.1</v>
      </c>
      <c r="C9" s="1" t="s">
        <v>239</v>
      </c>
      <c r="D9" s="1">
        <v>2.2200000000000002</v>
      </c>
      <c r="E9" s="1">
        <v>2.13</v>
      </c>
      <c r="F9" s="5">
        <v>4.0961223375204812</v>
      </c>
      <c r="G9" s="5">
        <v>1.9038776624795188</v>
      </c>
    </row>
    <row r="10" spans="1:7" x14ac:dyDescent="0.15">
      <c r="A10" s="1" t="s">
        <v>174</v>
      </c>
      <c r="B10" s="1">
        <v>177.8</v>
      </c>
      <c r="C10" s="1" t="s">
        <v>239</v>
      </c>
      <c r="D10" s="1">
        <v>2.2799999999999998</v>
      </c>
      <c r="E10" s="1">
        <v>1.8</v>
      </c>
      <c r="F10" s="5">
        <v>4.2182227221597302</v>
      </c>
      <c r="G10" s="5">
        <v>1.7817772778402698</v>
      </c>
    </row>
    <row r="11" spans="1:7" x14ac:dyDescent="0.15">
      <c r="A11" s="1" t="s">
        <v>129</v>
      </c>
      <c r="B11" s="1">
        <v>306.10000000000002</v>
      </c>
      <c r="C11" s="1" t="s">
        <v>239</v>
      </c>
      <c r="D11" s="1">
        <v>1.85</v>
      </c>
      <c r="E11" s="1">
        <v>1.72</v>
      </c>
      <c r="F11" s="5">
        <v>2.4501796798431883</v>
      </c>
      <c r="G11" s="5">
        <v>3.5498203201568117</v>
      </c>
    </row>
    <row r="12" spans="1:7" x14ac:dyDescent="0.15">
      <c r="A12" s="1" t="s">
        <v>237</v>
      </c>
      <c r="B12" s="1">
        <v>11.2</v>
      </c>
      <c r="C12" s="1" t="s">
        <v>239</v>
      </c>
      <c r="D12" s="1">
        <v>1.21</v>
      </c>
      <c r="E12" s="1">
        <v>0.25</v>
      </c>
      <c r="F12" s="5">
        <v>1.21</v>
      </c>
      <c r="G12" s="5">
        <v>0.25</v>
      </c>
    </row>
    <row r="13" spans="1:7" x14ac:dyDescent="0.15">
      <c r="A13" s="1" t="s">
        <v>173</v>
      </c>
      <c r="B13" s="1">
        <v>66.5</v>
      </c>
      <c r="C13" s="1" t="s">
        <v>239</v>
      </c>
      <c r="D13" s="1">
        <v>2.17</v>
      </c>
      <c r="E13" s="1">
        <v>2.86</v>
      </c>
      <c r="F13" s="5">
        <v>6</v>
      </c>
      <c r="G13" s="5">
        <v>0</v>
      </c>
    </row>
    <row r="14" spans="1:7" x14ac:dyDescent="0.15">
      <c r="A14" s="1" t="s">
        <v>236</v>
      </c>
      <c r="B14" s="1">
        <v>164.5</v>
      </c>
      <c r="C14" s="1" t="s">
        <v>239</v>
      </c>
      <c r="D14" s="1">
        <v>2.27</v>
      </c>
      <c r="E14" s="1">
        <v>2.16</v>
      </c>
      <c r="F14" s="5">
        <v>4.5592705167173255</v>
      </c>
      <c r="G14" s="5">
        <v>1.4407294832826745</v>
      </c>
    </row>
    <row r="15" spans="1:7" x14ac:dyDescent="0.15">
      <c r="A15" s="1" t="s">
        <v>235</v>
      </c>
      <c r="B15" s="1">
        <v>133.4</v>
      </c>
      <c r="C15" s="1" t="s">
        <v>239</v>
      </c>
      <c r="D15" s="1">
        <v>2.1</v>
      </c>
      <c r="E15" s="1">
        <v>1.66</v>
      </c>
      <c r="F15" s="5">
        <v>5.6221889055472261</v>
      </c>
      <c r="G15" s="5">
        <v>0.37781109445277394</v>
      </c>
    </row>
    <row r="16" spans="1:7" x14ac:dyDescent="0.15">
      <c r="A16" s="1" t="s">
        <v>234</v>
      </c>
      <c r="B16" s="1">
        <v>94.2</v>
      </c>
      <c r="C16" s="1" t="s">
        <v>239</v>
      </c>
      <c r="D16" s="1">
        <v>2.34</v>
      </c>
      <c r="E16" s="1">
        <v>1.41</v>
      </c>
      <c r="F16" s="5">
        <v>6</v>
      </c>
      <c r="G16" s="5">
        <v>0</v>
      </c>
    </row>
    <row r="17" spans="1:7" x14ac:dyDescent="0.15">
      <c r="A17" s="1" t="s">
        <v>233</v>
      </c>
      <c r="B17" s="1">
        <v>308.7</v>
      </c>
      <c r="C17" s="1" t="s">
        <v>239</v>
      </c>
      <c r="D17" s="1">
        <v>1.8</v>
      </c>
      <c r="E17" s="1">
        <v>1.59</v>
      </c>
      <c r="F17" s="5">
        <v>2.4295432458697768</v>
      </c>
      <c r="G17" s="5">
        <v>3.5704567541302232</v>
      </c>
    </row>
    <row r="18" spans="1:7" x14ac:dyDescent="0.15">
      <c r="A18" s="1" t="s">
        <v>232</v>
      </c>
      <c r="B18" s="1">
        <v>385.4</v>
      </c>
      <c r="C18" s="1" t="s">
        <v>239</v>
      </c>
      <c r="D18" s="1">
        <v>2</v>
      </c>
      <c r="E18" s="1">
        <v>1.39</v>
      </c>
      <c r="F18" s="5">
        <v>1.9460300985988583</v>
      </c>
      <c r="G18" s="5">
        <v>4.0539699014011417</v>
      </c>
    </row>
    <row r="19" spans="1:7" x14ac:dyDescent="0.15">
      <c r="A19" s="1" t="s">
        <v>231</v>
      </c>
      <c r="B19" s="1">
        <v>185.9</v>
      </c>
      <c r="C19" s="1" t="s">
        <v>239</v>
      </c>
      <c r="D19" s="1">
        <v>1.97</v>
      </c>
      <c r="E19" s="1">
        <v>1.32</v>
      </c>
      <c r="F19" s="5">
        <v>4.0344271113501877</v>
      </c>
      <c r="G19" s="5">
        <v>1.9655728886498123</v>
      </c>
    </row>
    <row r="20" spans="1:7" x14ac:dyDescent="0.15">
      <c r="A20" s="1" t="s">
        <v>230</v>
      </c>
      <c r="B20" s="1">
        <v>263.8</v>
      </c>
      <c r="C20" s="1" t="s">
        <v>239</v>
      </c>
      <c r="D20" s="1">
        <v>2.13</v>
      </c>
      <c r="E20" s="1">
        <v>1.84</v>
      </c>
      <c r="F20" s="5">
        <v>2.8430629264594387</v>
      </c>
      <c r="G20" s="5">
        <v>3.1569370735405613</v>
      </c>
    </row>
    <row r="21" spans="1:7" x14ac:dyDescent="0.15">
      <c r="A21" s="1" t="s">
        <v>229</v>
      </c>
      <c r="B21" s="1">
        <v>122.5</v>
      </c>
      <c r="C21" s="1" t="s">
        <v>239</v>
      </c>
      <c r="D21" s="1">
        <v>2.1800000000000002</v>
      </c>
      <c r="E21" s="1">
        <v>0.98</v>
      </c>
      <c r="F21" s="5">
        <v>6</v>
      </c>
      <c r="G21" s="5">
        <v>0</v>
      </c>
    </row>
    <row r="22" spans="1:7" x14ac:dyDescent="0.15">
      <c r="A22" s="1" t="s">
        <v>228</v>
      </c>
      <c r="B22" s="1">
        <v>251.5</v>
      </c>
      <c r="C22" s="1" t="s">
        <v>239</v>
      </c>
      <c r="D22" s="1">
        <v>2.16</v>
      </c>
      <c r="E22" s="1">
        <v>1.58</v>
      </c>
      <c r="F22" s="5">
        <v>2.982107355864811</v>
      </c>
      <c r="G22" s="5">
        <v>3.017892644135189</v>
      </c>
    </row>
    <row r="23" spans="1:7" x14ac:dyDescent="0.15">
      <c r="A23" s="1" t="s">
        <v>227</v>
      </c>
      <c r="B23" s="1">
        <v>377.3</v>
      </c>
      <c r="C23" s="1" t="s">
        <v>239</v>
      </c>
      <c r="D23" s="1">
        <v>2.15</v>
      </c>
      <c r="E23" s="1">
        <v>1.47</v>
      </c>
      <c r="F23" s="5">
        <v>1.9878081102570897</v>
      </c>
      <c r="G23" s="5">
        <v>4.0121918897429101</v>
      </c>
    </row>
    <row r="24" spans="1:7" x14ac:dyDescent="0.15">
      <c r="A24" s="1" t="s">
        <v>226</v>
      </c>
      <c r="B24" s="1">
        <v>391.8</v>
      </c>
      <c r="C24" s="1" t="s">
        <v>239</v>
      </c>
      <c r="D24" s="1">
        <v>2.14</v>
      </c>
      <c r="E24" s="1">
        <v>2.15</v>
      </c>
      <c r="F24" s="5">
        <v>1.9142419601837672</v>
      </c>
      <c r="G24" s="5">
        <v>4.0857580398162323</v>
      </c>
    </row>
    <row r="25" spans="1:7" x14ac:dyDescent="0.15">
      <c r="A25" s="1" t="s">
        <v>172</v>
      </c>
      <c r="B25" s="1">
        <v>221.5</v>
      </c>
      <c r="C25" s="1" t="s">
        <v>239</v>
      </c>
      <c r="D25" s="1">
        <v>2.14</v>
      </c>
      <c r="E25" s="1">
        <v>0.79</v>
      </c>
      <c r="F25" s="5">
        <v>3.386004514672686</v>
      </c>
      <c r="G25" s="5">
        <v>2.613995485327314</v>
      </c>
    </row>
    <row r="26" spans="1:7" x14ac:dyDescent="0.15">
      <c r="A26" s="1" t="s">
        <v>225</v>
      </c>
      <c r="B26" s="1">
        <v>221.2</v>
      </c>
      <c r="C26" s="1" t="s">
        <v>239</v>
      </c>
      <c r="D26" s="1">
        <v>2.12</v>
      </c>
      <c r="E26" s="1">
        <v>1.91</v>
      </c>
      <c r="F26" s="5">
        <v>3.3905967450271248</v>
      </c>
      <c r="G26" s="5">
        <v>2.6094032549728752</v>
      </c>
    </row>
    <row r="27" spans="1:7" x14ac:dyDescent="0.15">
      <c r="A27" s="1" t="s">
        <v>224</v>
      </c>
      <c r="B27" s="1">
        <v>355.9</v>
      </c>
      <c r="C27" s="1" t="s">
        <v>239</v>
      </c>
      <c r="D27" s="1">
        <v>2.15</v>
      </c>
      <c r="E27" s="1">
        <v>2.0699999999999998</v>
      </c>
      <c r="F27" s="5">
        <v>2.1073335206518689</v>
      </c>
      <c r="G27" s="5">
        <v>3.8926664793481311</v>
      </c>
    </row>
    <row r="28" spans="1:7" x14ac:dyDescent="0.15">
      <c r="A28" s="1" t="s">
        <v>223</v>
      </c>
      <c r="B28" s="1">
        <v>242.3</v>
      </c>
      <c r="C28" s="1" t="s">
        <v>239</v>
      </c>
      <c r="D28" s="1">
        <v>2.15</v>
      </c>
      <c r="E28" s="1">
        <v>2.27</v>
      </c>
      <c r="F28" s="5">
        <v>3.0953363598844406</v>
      </c>
      <c r="G28" s="5">
        <v>2.9046636401155594</v>
      </c>
    </row>
    <row r="29" spans="1:7" x14ac:dyDescent="0.15">
      <c r="A29" s="1" t="s">
        <v>128</v>
      </c>
      <c r="B29" s="1">
        <v>261.10000000000002</v>
      </c>
      <c r="C29" s="1" t="s">
        <v>239</v>
      </c>
      <c r="D29" s="1">
        <v>2.02</v>
      </c>
      <c r="E29" s="1">
        <v>1.52</v>
      </c>
      <c r="F29" s="5">
        <v>2.8724626579854458</v>
      </c>
      <c r="G29" s="5">
        <v>3.1275373420145542</v>
      </c>
    </row>
    <row r="30" spans="1:7" x14ac:dyDescent="0.15">
      <c r="A30" s="1" t="s">
        <v>199</v>
      </c>
      <c r="B30" s="1">
        <v>422.7</v>
      </c>
      <c r="C30" s="1" t="s">
        <v>239</v>
      </c>
      <c r="D30" s="1">
        <v>2.15</v>
      </c>
      <c r="E30" s="1">
        <v>2.0099999999999998</v>
      </c>
      <c r="F30" s="5">
        <v>1.7743080198722498</v>
      </c>
      <c r="G30" s="5">
        <v>4.2256919801277499</v>
      </c>
    </row>
    <row r="31" spans="1:7" x14ac:dyDescent="0.15">
      <c r="A31" s="1" t="s">
        <v>171</v>
      </c>
      <c r="B31" s="1">
        <v>222.3</v>
      </c>
      <c r="C31" s="1" t="s">
        <v>239</v>
      </c>
      <c r="D31" s="1">
        <v>1.86</v>
      </c>
      <c r="E31" s="1">
        <v>1.42</v>
      </c>
      <c r="F31" s="5">
        <v>3.3738191632928474</v>
      </c>
      <c r="G31" s="5">
        <v>2.6261808367071526</v>
      </c>
    </row>
    <row r="32" spans="1:7" x14ac:dyDescent="0.15">
      <c r="A32" s="1" t="s">
        <v>127</v>
      </c>
      <c r="B32" s="1">
        <v>334.4</v>
      </c>
      <c r="C32" s="1" t="s">
        <v>239</v>
      </c>
      <c r="D32" s="1">
        <v>2.14</v>
      </c>
      <c r="E32" s="1">
        <v>1.92</v>
      </c>
      <c r="F32" s="5">
        <v>2.2428229665071773</v>
      </c>
      <c r="G32" s="5">
        <v>3.7571770334928227</v>
      </c>
    </row>
    <row r="33" spans="1:7" x14ac:dyDescent="0.15">
      <c r="A33" s="1" t="s">
        <v>198</v>
      </c>
      <c r="B33" s="1">
        <v>263</v>
      </c>
      <c r="C33" s="1" t="s">
        <v>239</v>
      </c>
      <c r="D33" s="1">
        <v>2.14</v>
      </c>
      <c r="E33" s="1">
        <v>1.86</v>
      </c>
      <c r="F33" s="5">
        <v>2.8517110266159698</v>
      </c>
      <c r="G33" s="5">
        <v>3.1482889733840302</v>
      </c>
    </row>
    <row r="34" spans="1:7" x14ac:dyDescent="0.15">
      <c r="A34" s="1" t="s">
        <v>170</v>
      </c>
      <c r="B34" s="1">
        <v>235.8</v>
      </c>
      <c r="C34" s="1" t="s">
        <v>239</v>
      </c>
      <c r="D34" s="1">
        <v>2.11</v>
      </c>
      <c r="E34" s="1">
        <v>2.04</v>
      </c>
      <c r="F34" s="5">
        <v>3.1806615776081424</v>
      </c>
      <c r="G34" s="5">
        <v>2.8193384223918576</v>
      </c>
    </row>
    <row r="35" spans="1:7" x14ac:dyDescent="0.15">
      <c r="A35" s="1" t="s">
        <v>126</v>
      </c>
      <c r="B35" s="1">
        <v>303.2</v>
      </c>
      <c r="C35" s="1" t="s">
        <v>239</v>
      </c>
      <c r="D35" s="1">
        <v>2.13</v>
      </c>
      <c r="E35" s="1">
        <v>2.23</v>
      </c>
      <c r="F35" s="5">
        <v>2.473614775725594</v>
      </c>
      <c r="G35" s="5">
        <v>3.526385224274406</v>
      </c>
    </row>
    <row r="36" spans="1:7" x14ac:dyDescent="0.15">
      <c r="A36" s="1" t="s">
        <v>197</v>
      </c>
      <c r="B36" s="1">
        <v>292.2</v>
      </c>
      <c r="C36" s="1" t="s">
        <v>239</v>
      </c>
      <c r="D36" s="1">
        <v>2.16</v>
      </c>
      <c r="E36" s="1">
        <v>2.12</v>
      </c>
      <c r="F36" s="5">
        <v>2.5667351129363452</v>
      </c>
      <c r="G36" s="5">
        <v>3.4332648870636548</v>
      </c>
    </row>
    <row r="37" spans="1:7" x14ac:dyDescent="0.15">
      <c r="A37" s="1" t="s">
        <v>169</v>
      </c>
      <c r="B37" s="1">
        <v>290.7</v>
      </c>
      <c r="C37" s="1" t="s">
        <v>239</v>
      </c>
      <c r="D37" s="1">
        <v>2.15</v>
      </c>
      <c r="E37" s="1">
        <v>2.02</v>
      </c>
      <c r="F37" s="5">
        <v>2.5799793601651189</v>
      </c>
      <c r="G37" s="5">
        <v>3.4200206398348811</v>
      </c>
    </row>
    <row r="38" spans="1:7" x14ac:dyDescent="0.15">
      <c r="A38" s="1" t="s">
        <v>125</v>
      </c>
      <c r="B38" s="1">
        <v>213.8</v>
      </c>
      <c r="C38" s="1" t="s">
        <v>239</v>
      </c>
      <c r="D38" s="1">
        <v>2.16</v>
      </c>
      <c r="E38" s="1">
        <v>1.38</v>
      </c>
      <c r="F38" s="5">
        <v>3.5079513564078577</v>
      </c>
      <c r="G38" s="5">
        <v>2.4920486435921423</v>
      </c>
    </row>
    <row r="39" spans="1:7" x14ac:dyDescent="0.15">
      <c r="A39" s="1" t="s">
        <v>196</v>
      </c>
      <c r="B39" s="1">
        <v>286.39999999999998</v>
      </c>
      <c r="C39" s="1" t="s">
        <v>239</v>
      </c>
      <c r="D39" s="1">
        <v>2.14</v>
      </c>
      <c r="E39" s="1">
        <v>2.17</v>
      </c>
      <c r="F39" s="5">
        <v>2.6187150837988828</v>
      </c>
      <c r="G39" s="5">
        <v>3.3812849162011172</v>
      </c>
    </row>
    <row r="40" spans="1:7" x14ac:dyDescent="0.15">
      <c r="A40" s="1" t="s">
        <v>168</v>
      </c>
      <c r="B40" s="1">
        <v>230.5</v>
      </c>
      <c r="C40" s="1" t="s">
        <v>239</v>
      </c>
      <c r="D40" s="1">
        <v>2.06</v>
      </c>
      <c r="E40" s="1">
        <v>1.81</v>
      </c>
      <c r="F40" s="5">
        <v>3.2537960954446854</v>
      </c>
      <c r="G40" s="5">
        <v>2.7462039045553146</v>
      </c>
    </row>
    <row r="41" spans="1:7" x14ac:dyDescent="0.15">
      <c r="A41" s="1" t="s">
        <v>124</v>
      </c>
      <c r="B41" s="1">
        <v>199.7</v>
      </c>
      <c r="C41" s="1" t="s">
        <v>239</v>
      </c>
      <c r="D41" s="1">
        <v>2.21</v>
      </c>
      <c r="E41" s="1">
        <v>1.45</v>
      </c>
      <c r="F41" s="5">
        <v>3.7556334501752633</v>
      </c>
      <c r="G41" s="5">
        <v>2.2443665498247367</v>
      </c>
    </row>
    <row r="42" spans="1:7" x14ac:dyDescent="0.15">
      <c r="A42" s="1" t="s">
        <v>195</v>
      </c>
      <c r="B42" s="1">
        <v>357</v>
      </c>
      <c r="C42" s="1" t="s">
        <v>239</v>
      </c>
      <c r="D42" s="1">
        <v>2.16</v>
      </c>
      <c r="E42" s="1">
        <v>1.65</v>
      </c>
      <c r="F42" s="5">
        <v>2.1008403361344539</v>
      </c>
      <c r="G42" s="5">
        <v>3.8991596638655461</v>
      </c>
    </row>
    <row r="43" spans="1:7" x14ac:dyDescent="0.15">
      <c r="A43" s="1" t="s">
        <v>167</v>
      </c>
      <c r="B43" s="1">
        <v>468.9</v>
      </c>
      <c r="C43" s="1" t="s">
        <v>239</v>
      </c>
      <c r="D43" s="1">
        <v>2.14</v>
      </c>
      <c r="E43" s="1">
        <v>1.31</v>
      </c>
      <c r="F43" s="5">
        <v>1.599488163787588</v>
      </c>
      <c r="G43" s="5">
        <v>4.400511836212412</v>
      </c>
    </row>
    <row r="44" spans="1:7" x14ac:dyDescent="0.15">
      <c r="A44" s="1" t="s">
        <v>123</v>
      </c>
      <c r="B44" s="1">
        <v>282</v>
      </c>
      <c r="C44" s="1" t="s">
        <v>239</v>
      </c>
      <c r="D44" s="1">
        <v>2.15</v>
      </c>
      <c r="E44" s="1">
        <v>1.84</v>
      </c>
      <c r="F44" s="5">
        <v>2.6595744680851063</v>
      </c>
      <c r="G44" s="5">
        <v>3.3404255319148937</v>
      </c>
    </row>
    <row r="45" spans="1:7" x14ac:dyDescent="0.15">
      <c r="A45" s="1" t="s">
        <v>194</v>
      </c>
      <c r="B45" s="1">
        <v>375.4</v>
      </c>
      <c r="C45" s="1" t="s">
        <v>239</v>
      </c>
      <c r="D45" s="1">
        <v>2.14</v>
      </c>
      <c r="E45" s="1">
        <v>2.11</v>
      </c>
      <c r="F45" s="5">
        <v>1.9978689397975493</v>
      </c>
      <c r="G45" s="5">
        <v>4.0021310602024505</v>
      </c>
    </row>
    <row r="46" spans="1:7" x14ac:dyDescent="0.15">
      <c r="A46" s="1" t="s">
        <v>166</v>
      </c>
      <c r="B46" s="1">
        <v>427.2</v>
      </c>
      <c r="C46" s="1" t="s">
        <v>239</v>
      </c>
      <c r="D46" s="1">
        <v>2.14</v>
      </c>
      <c r="E46" s="1">
        <v>2.1</v>
      </c>
      <c r="F46" s="5">
        <v>1.75561797752809</v>
      </c>
      <c r="G46" s="5">
        <v>4.2443820224719104</v>
      </c>
    </row>
    <row r="47" spans="1:7" x14ac:dyDescent="0.15">
      <c r="A47" s="1" t="s">
        <v>122</v>
      </c>
      <c r="B47" s="1">
        <v>329.5</v>
      </c>
      <c r="C47" s="1" t="s">
        <v>239</v>
      </c>
      <c r="D47" s="1">
        <v>2.15</v>
      </c>
      <c r="E47" s="1">
        <v>2.2400000000000002</v>
      </c>
      <c r="F47" s="5">
        <v>2.2761760242792111</v>
      </c>
      <c r="G47" s="5">
        <v>3.7238239757207889</v>
      </c>
    </row>
    <row r="48" spans="1:7" x14ac:dyDescent="0.15">
      <c r="A48" s="1" t="s">
        <v>193</v>
      </c>
      <c r="B48" s="1">
        <v>325</v>
      </c>
      <c r="C48" s="1" t="s">
        <v>239</v>
      </c>
      <c r="D48" s="1">
        <v>2.16</v>
      </c>
      <c r="E48" s="1">
        <v>2.17</v>
      </c>
      <c r="F48" s="5">
        <v>2.3076923076923075</v>
      </c>
      <c r="G48" s="5">
        <v>3.6923076923076925</v>
      </c>
    </row>
    <row r="49" spans="1:7" x14ac:dyDescent="0.15">
      <c r="A49" s="1" t="s">
        <v>165</v>
      </c>
      <c r="B49" s="1">
        <v>352.8</v>
      </c>
      <c r="C49" s="1" t="s">
        <v>239</v>
      </c>
      <c r="D49" s="1">
        <v>2.17</v>
      </c>
      <c r="E49" s="1">
        <v>1.94</v>
      </c>
      <c r="F49" s="5">
        <v>2.1258503401360542</v>
      </c>
      <c r="G49" s="5">
        <v>3.8741496598639458</v>
      </c>
    </row>
    <row r="50" spans="1:7" x14ac:dyDescent="0.15">
      <c r="A50" s="1" t="s">
        <v>121</v>
      </c>
      <c r="B50" s="1">
        <v>407.9</v>
      </c>
      <c r="C50" s="1" t="s">
        <v>239</v>
      </c>
      <c r="D50" s="1">
        <v>2.14</v>
      </c>
      <c r="E50" s="1">
        <v>2.25</v>
      </c>
      <c r="F50" s="5">
        <v>1.8386859524393235</v>
      </c>
      <c r="G50" s="5">
        <v>4.1613140475606762</v>
      </c>
    </row>
    <row r="51" spans="1:7" x14ac:dyDescent="0.15">
      <c r="A51" s="1" t="s">
        <v>192</v>
      </c>
      <c r="B51" s="1">
        <v>330.7</v>
      </c>
      <c r="C51" s="1" t="s">
        <v>239</v>
      </c>
      <c r="D51" s="1">
        <v>2.15</v>
      </c>
      <c r="E51" s="1">
        <v>2.12</v>
      </c>
      <c r="F51" s="5">
        <v>2.2679165406713033</v>
      </c>
      <c r="G51" s="5">
        <v>3.7320834593286967</v>
      </c>
    </row>
    <row r="52" spans="1:7" x14ac:dyDescent="0.15">
      <c r="A52" s="1" t="s">
        <v>164</v>
      </c>
      <c r="B52" s="1">
        <v>125.2</v>
      </c>
      <c r="C52" s="1" t="s">
        <v>239</v>
      </c>
      <c r="D52" s="1">
        <v>2.12</v>
      </c>
      <c r="E52" s="1">
        <v>1.32</v>
      </c>
      <c r="F52" s="5">
        <v>5.9904153354632586</v>
      </c>
      <c r="G52" s="5">
        <v>9.5846645367414496E-3</v>
      </c>
    </row>
    <row r="53" spans="1:7" x14ac:dyDescent="0.15">
      <c r="A53" s="1" t="s">
        <v>120</v>
      </c>
      <c r="B53" s="1">
        <v>268.10000000000002</v>
      </c>
      <c r="C53" s="1" t="s">
        <v>239</v>
      </c>
      <c r="D53" s="1">
        <v>2.15</v>
      </c>
      <c r="E53" s="1">
        <v>2.13</v>
      </c>
      <c r="F53" s="5">
        <v>2.7974636329727711</v>
      </c>
      <c r="G53" s="5">
        <v>3.2025363670272289</v>
      </c>
    </row>
    <row r="54" spans="1:7" x14ac:dyDescent="0.15">
      <c r="A54" s="1" t="s">
        <v>191</v>
      </c>
      <c r="B54" s="1">
        <v>285.3</v>
      </c>
      <c r="C54" s="1" t="s">
        <v>239</v>
      </c>
      <c r="D54" s="1">
        <v>2.16</v>
      </c>
      <c r="E54" s="1">
        <v>1.62</v>
      </c>
      <c r="F54" s="5">
        <v>2.6288117770767614</v>
      </c>
      <c r="G54" s="5">
        <v>3.3711882229232386</v>
      </c>
    </row>
    <row r="55" spans="1:7" x14ac:dyDescent="0.15">
      <c r="A55" s="1" t="s">
        <v>163</v>
      </c>
      <c r="B55" s="1">
        <v>307.7</v>
      </c>
      <c r="C55" s="1" t="s">
        <v>239</v>
      </c>
      <c r="D55" s="1">
        <v>2.15</v>
      </c>
      <c r="E55" s="1">
        <v>2.09</v>
      </c>
      <c r="F55" s="5">
        <v>2.4374390640233994</v>
      </c>
      <c r="G55" s="5">
        <v>3.5625609359766006</v>
      </c>
    </row>
    <row r="56" spans="1:7" x14ac:dyDescent="0.15">
      <c r="A56" s="1" t="s">
        <v>222</v>
      </c>
      <c r="B56" s="1">
        <v>261.10000000000002</v>
      </c>
      <c r="C56" s="1" t="s">
        <v>239</v>
      </c>
      <c r="D56" s="1">
        <v>2.15</v>
      </c>
      <c r="E56" s="1">
        <v>1.81</v>
      </c>
      <c r="F56" s="5">
        <v>2.8724626579854458</v>
      </c>
      <c r="G56" s="5">
        <v>3.1275373420145542</v>
      </c>
    </row>
    <row r="57" spans="1:7" x14ac:dyDescent="0.15">
      <c r="A57" s="1" t="s">
        <v>221</v>
      </c>
      <c r="B57" s="1">
        <v>181.5</v>
      </c>
      <c r="C57" s="1" t="s">
        <v>239</v>
      </c>
      <c r="D57" s="1">
        <v>2.13</v>
      </c>
      <c r="E57" s="1">
        <v>1.86</v>
      </c>
      <c r="F57" s="5">
        <v>4.1322314049586772</v>
      </c>
      <c r="G57" s="5">
        <v>1.8677685950413228</v>
      </c>
    </row>
    <row r="58" spans="1:7" x14ac:dyDescent="0.15">
      <c r="A58" s="1" t="s">
        <v>220</v>
      </c>
      <c r="B58" s="1">
        <v>379.6</v>
      </c>
      <c r="C58" s="1" t="s">
        <v>239</v>
      </c>
      <c r="D58" s="1">
        <v>2.14</v>
      </c>
      <c r="E58" s="1">
        <v>1.79</v>
      </c>
      <c r="F58" s="5">
        <v>1.9757639620653318</v>
      </c>
      <c r="G58" s="5">
        <v>4.024236037934668</v>
      </c>
    </row>
    <row r="59" spans="1:7" x14ac:dyDescent="0.15">
      <c r="A59" s="1" t="s">
        <v>219</v>
      </c>
      <c r="B59" s="1">
        <v>318.39999999999998</v>
      </c>
      <c r="C59" s="1" t="s">
        <v>239</v>
      </c>
      <c r="D59" s="1">
        <v>2.14</v>
      </c>
      <c r="E59" s="1">
        <v>1.94</v>
      </c>
      <c r="F59" s="5">
        <v>2.3555276381909551</v>
      </c>
      <c r="G59" s="5">
        <v>3.6444723618090449</v>
      </c>
    </row>
    <row r="60" spans="1:7" x14ac:dyDescent="0.15">
      <c r="A60" s="1" t="s">
        <v>218</v>
      </c>
      <c r="B60" s="1">
        <v>307.2</v>
      </c>
      <c r="C60" s="1" t="s">
        <v>239</v>
      </c>
      <c r="D60" s="1">
        <v>2.14</v>
      </c>
      <c r="E60" s="1">
        <v>1.86</v>
      </c>
      <c r="F60" s="5">
        <v>2.44140625</v>
      </c>
      <c r="G60" s="5">
        <v>3.55859375</v>
      </c>
    </row>
    <row r="61" spans="1:7" x14ac:dyDescent="0.15">
      <c r="A61" s="1" t="s">
        <v>217</v>
      </c>
      <c r="B61" s="1">
        <v>358.1</v>
      </c>
      <c r="C61" s="1" t="s">
        <v>239</v>
      </c>
      <c r="D61" s="1">
        <v>2.14</v>
      </c>
      <c r="E61" s="1">
        <v>2.2599999999999998</v>
      </c>
      <c r="F61" s="5">
        <v>2.0943870427254954</v>
      </c>
      <c r="G61" s="5">
        <v>3.9056129572745046</v>
      </c>
    </row>
    <row r="62" spans="1:7" x14ac:dyDescent="0.15">
      <c r="A62" s="1" t="s">
        <v>119</v>
      </c>
      <c r="B62" s="1">
        <v>340.3</v>
      </c>
      <c r="C62" s="1" t="s">
        <v>239</v>
      </c>
      <c r="D62" s="1">
        <v>2.15</v>
      </c>
      <c r="E62" s="1">
        <v>1.77</v>
      </c>
      <c r="F62" s="5">
        <v>2.2039377020276225</v>
      </c>
      <c r="G62" s="5">
        <v>3.7960622979723775</v>
      </c>
    </row>
    <row r="63" spans="1:7" x14ac:dyDescent="0.15">
      <c r="A63" s="1" t="s">
        <v>190</v>
      </c>
      <c r="B63" s="1">
        <v>183.9</v>
      </c>
      <c r="C63" s="1" t="s">
        <v>239</v>
      </c>
      <c r="D63" s="1">
        <v>2.12</v>
      </c>
      <c r="E63" s="1">
        <v>1.92</v>
      </c>
      <c r="F63" s="5">
        <v>4.0783034257748776</v>
      </c>
      <c r="G63" s="5">
        <v>1.9216965742251224</v>
      </c>
    </row>
    <row r="64" spans="1:7" x14ac:dyDescent="0.15">
      <c r="A64" s="1" t="s">
        <v>162</v>
      </c>
      <c r="B64" s="1">
        <v>239</v>
      </c>
      <c r="C64" s="1" t="s">
        <v>239</v>
      </c>
      <c r="D64" s="1">
        <v>2.1</v>
      </c>
      <c r="E64" s="1">
        <v>2.0299999999999998</v>
      </c>
      <c r="F64" s="5">
        <v>3.1380753138075312</v>
      </c>
      <c r="G64" s="5">
        <v>2.8619246861924688</v>
      </c>
    </row>
    <row r="65" spans="1:7" x14ac:dyDescent="0.15">
      <c r="A65" s="1" t="s">
        <v>118</v>
      </c>
      <c r="B65" s="1">
        <v>369.3</v>
      </c>
      <c r="C65" s="1" t="s">
        <v>239</v>
      </c>
      <c r="D65" s="1">
        <v>2.15</v>
      </c>
      <c r="E65" s="1">
        <v>2.21</v>
      </c>
      <c r="F65" s="5">
        <v>2.0308692120227456</v>
      </c>
      <c r="G65" s="5">
        <v>3.9691307879772544</v>
      </c>
    </row>
    <row r="66" spans="1:7" x14ac:dyDescent="0.15">
      <c r="A66" s="1" t="s">
        <v>189</v>
      </c>
      <c r="B66" s="1">
        <v>226.1</v>
      </c>
      <c r="C66" s="1" t="s">
        <v>239</v>
      </c>
      <c r="D66" s="1">
        <v>2.06</v>
      </c>
      <c r="E66" s="1">
        <v>1.48</v>
      </c>
      <c r="F66" s="5">
        <v>3.3171163202122957</v>
      </c>
      <c r="G66" s="5">
        <v>2.6828836797877043</v>
      </c>
    </row>
    <row r="67" spans="1:7" x14ac:dyDescent="0.15">
      <c r="A67" s="1" t="s">
        <v>216</v>
      </c>
      <c r="B67" s="1">
        <v>318</v>
      </c>
      <c r="C67" s="1" t="s">
        <v>239</v>
      </c>
      <c r="D67" s="1">
        <v>2.11</v>
      </c>
      <c r="E67" s="1">
        <v>1.71</v>
      </c>
      <c r="F67" s="5">
        <v>2.358490566037736</v>
      </c>
      <c r="G67" s="5">
        <v>3.641509433962264</v>
      </c>
    </row>
    <row r="68" spans="1:7" x14ac:dyDescent="0.15">
      <c r="A68" s="1" t="s">
        <v>215</v>
      </c>
      <c r="B68" s="1">
        <v>190.3</v>
      </c>
      <c r="C68" s="1" t="s">
        <v>239</v>
      </c>
      <c r="D68" s="1">
        <v>2.11</v>
      </c>
      <c r="E68" s="1">
        <v>1.31</v>
      </c>
      <c r="F68" s="5">
        <v>3.9411455596426692</v>
      </c>
      <c r="G68" s="5">
        <v>2.0588544403573308</v>
      </c>
    </row>
    <row r="69" spans="1:7" x14ac:dyDescent="0.15">
      <c r="A69" s="1" t="s">
        <v>214</v>
      </c>
      <c r="B69" s="1">
        <v>238.5</v>
      </c>
      <c r="C69" s="1" t="s">
        <v>239</v>
      </c>
      <c r="D69" s="1">
        <v>2.1</v>
      </c>
      <c r="E69" s="1">
        <v>1.89</v>
      </c>
      <c r="F69" s="5">
        <v>3.1446540880503147</v>
      </c>
      <c r="G69" s="5">
        <v>2.8553459119496853</v>
      </c>
    </row>
    <row r="70" spans="1:7" x14ac:dyDescent="0.15">
      <c r="A70" s="1" t="s">
        <v>213</v>
      </c>
      <c r="B70" s="1">
        <v>235.8</v>
      </c>
      <c r="C70" s="1" t="s">
        <v>239</v>
      </c>
      <c r="D70" s="1">
        <v>2.13</v>
      </c>
      <c r="E70" s="1">
        <v>1.83</v>
      </c>
      <c r="F70" s="5">
        <v>3.1806615776081424</v>
      </c>
      <c r="G70" s="5">
        <v>2.8193384223918576</v>
      </c>
    </row>
    <row r="71" spans="1:7" x14ac:dyDescent="0.15">
      <c r="A71" s="1" t="s">
        <v>212</v>
      </c>
      <c r="B71" s="1">
        <v>271.10000000000002</v>
      </c>
      <c r="C71" s="1" t="s">
        <v>239</v>
      </c>
      <c r="D71" s="1">
        <v>2.16</v>
      </c>
      <c r="E71" s="1">
        <v>1.81</v>
      </c>
      <c r="F71" s="5">
        <v>2.7665068240501656</v>
      </c>
      <c r="G71" s="5">
        <v>3.2334931759498344</v>
      </c>
    </row>
    <row r="72" spans="1:7" x14ac:dyDescent="0.15">
      <c r="A72" s="1" t="s">
        <v>211</v>
      </c>
      <c r="B72" s="1">
        <v>327.10000000000002</v>
      </c>
      <c r="C72" s="1" t="s">
        <v>239</v>
      </c>
      <c r="D72" s="1">
        <v>2.14</v>
      </c>
      <c r="E72" s="1">
        <v>2.1800000000000002</v>
      </c>
      <c r="F72" s="5">
        <v>2.2928767960868233</v>
      </c>
      <c r="G72" s="5">
        <v>3.7071232039131767</v>
      </c>
    </row>
    <row r="73" spans="1:7" x14ac:dyDescent="0.15">
      <c r="A73" s="1" t="s">
        <v>144</v>
      </c>
      <c r="B73" s="1">
        <v>254</v>
      </c>
      <c r="C73" s="1" t="s">
        <v>239</v>
      </c>
      <c r="D73" s="1">
        <v>2.16</v>
      </c>
      <c r="E73" s="1">
        <v>1.52</v>
      </c>
      <c r="F73" s="5">
        <v>2.9527559055118111</v>
      </c>
      <c r="G73" s="5">
        <v>3.0472440944881889</v>
      </c>
    </row>
    <row r="74" spans="1:7" x14ac:dyDescent="0.15">
      <c r="A74" s="1" t="s">
        <v>188</v>
      </c>
      <c r="B74" s="1">
        <v>278.89999999999998</v>
      </c>
      <c r="C74" s="1" t="s">
        <v>239</v>
      </c>
      <c r="D74" s="1">
        <v>2.14</v>
      </c>
      <c r="E74" s="1">
        <v>0.61</v>
      </c>
      <c r="F74" s="5">
        <v>2.6891358910003587</v>
      </c>
      <c r="G74" s="5">
        <v>3.3108641089996413</v>
      </c>
    </row>
    <row r="75" spans="1:7" x14ac:dyDescent="0.15">
      <c r="A75" s="1" t="s">
        <v>161</v>
      </c>
      <c r="B75" s="1">
        <v>265.3</v>
      </c>
      <c r="C75" s="1" t="s">
        <v>239</v>
      </c>
      <c r="D75" s="1">
        <v>2.15</v>
      </c>
      <c r="E75" s="1">
        <v>2.0099999999999998</v>
      </c>
      <c r="F75" s="5">
        <v>2.826988315114964</v>
      </c>
      <c r="G75" s="5">
        <v>3.173011684885036</v>
      </c>
    </row>
    <row r="76" spans="1:7" x14ac:dyDescent="0.15">
      <c r="A76" s="1" t="s">
        <v>210</v>
      </c>
      <c r="B76" s="1">
        <v>300.7</v>
      </c>
      <c r="C76" s="1" t="s">
        <v>239</v>
      </c>
      <c r="D76" s="1">
        <v>2.08</v>
      </c>
      <c r="E76" s="1">
        <v>1.75</v>
      </c>
      <c r="F76" s="5">
        <v>2.4941802460924509</v>
      </c>
      <c r="G76" s="5">
        <v>3.5058197539075491</v>
      </c>
    </row>
    <row r="77" spans="1:7" x14ac:dyDescent="0.15">
      <c r="A77" s="1" t="s">
        <v>209</v>
      </c>
      <c r="B77" s="1">
        <v>248.9</v>
      </c>
      <c r="C77" s="1" t="s">
        <v>239</v>
      </c>
      <c r="D77" s="1">
        <v>2.17</v>
      </c>
      <c r="E77" s="1">
        <v>0.87</v>
      </c>
      <c r="F77" s="5">
        <v>3.0132583366813979</v>
      </c>
      <c r="G77" s="5">
        <v>2.9867416633186021</v>
      </c>
    </row>
    <row r="78" spans="1:7" x14ac:dyDescent="0.15">
      <c r="A78" s="1" t="s">
        <v>208</v>
      </c>
      <c r="B78" s="1">
        <v>523.6</v>
      </c>
      <c r="C78" s="1" t="s">
        <v>239</v>
      </c>
      <c r="D78" s="1">
        <v>2.14</v>
      </c>
      <c r="E78" s="1">
        <v>1.84</v>
      </c>
      <c r="F78" s="5">
        <v>1.4323911382734911</v>
      </c>
      <c r="G78" s="5">
        <v>4.5676088617265087</v>
      </c>
    </row>
    <row r="79" spans="1:7" x14ac:dyDescent="0.15">
      <c r="A79" s="1" t="s">
        <v>143</v>
      </c>
      <c r="B79" s="1">
        <v>75.2</v>
      </c>
      <c r="C79" s="1" t="s">
        <v>239</v>
      </c>
      <c r="D79" s="1">
        <v>2.15</v>
      </c>
      <c r="E79" s="1">
        <v>0.46</v>
      </c>
      <c r="F79" s="5">
        <v>6</v>
      </c>
      <c r="G79" s="5">
        <v>0</v>
      </c>
    </row>
    <row r="80" spans="1:7" x14ac:dyDescent="0.15">
      <c r="A80" s="1" t="s">
        <v>207</v>
      </c>
      <c r="B80" s="1">
        <v>249.7</v>
      </c>
      <c r="C80" s="1" t="s">
        <v>239</v>
      </c>
      <c r="D80" s="1">
        <v>2.12</v>
      </c>
      <c r="E80" s="1">
        <v>1.51</v>
      </c>
      <c r="F80" s="5">
        <v>3.0036043251902282</v>
      </c>
      <c r="G80" s="5">
        <v>2.9963956748097718</v>
      </c>
    </row>
    <row r="81" spans="1:7" x14ac:dyDescent="0.15">
      <c r="A81" s="1" t="s">
        <v>206</v>
      </c>
      <c r="B81" s="1">
        <v>331.4</v>
      </c>
      <c r="C81" s="1" t="s">
        <v>239</v>
      </c>
      <c r="D81" s="1">
        <v>2.14</v>
      </c>
      <c r="E81" s="1">
        <v>1.92</v>
      </c>
      <c r="F81" s="5">
        <v>2.263126131563066</v>
      </c>
      <c r="G81" s="5">
        <v>3.736873868436934</v>
      </c>
    </row>
    <row r="82" spans="1:7" x14ac:dyDescent="0.15">
      <c r="A82" s="1" t="s">
        <v>142</v>
      </c>
      <c r="B82" s="1">
        <v>235.4</v>
      </c>
      <c r="C82" s="1" t="s">
        <v>239</v>
      </c>
      <c r="D82" s="1">
        <v>2.15</v>
      </c>
      <c r="E82" s="1">
        <v>1.43</v>
      </c>
      <c r="F82" s="5">
        <v>3.1860662701784195</v>
      </c>
      <c r="G82" s="5">
        <v>2.8139337298215805</v>
      </c>
    </row>
    <row r="83" spans="1:7" x14ac:dyDescent="0.15">
      <c r="A83" s="1" t="s">
        <v>187</v>
      </c>
      <c r="B83" s="1">
        <v>409.9</v>
      </c>
      <c r="C83" s="1" t="s">
        <v>239</v>
      </c>
      <c r="D83" s="1">
        <v>2.15</v>
      </c>
      <c r="E83" s="1">
        <v>2.13</v>
      </c>
      <c r="F83" s="5">
        <v>1.8297145645279338</v>
      </c>
      <c r="G83" s="5">
        <v>4.1702854354720662</v>
      </c>
    </row>
    <row r="84" spans="1:7" x14ac:dyDescent="0.15">
      <c r="A84" s="1" t="s">
        <v>205</v>
      </c>
      <c r="B84" s="1">
        <v>163.1</v>
      </c>
      <c r="C84" s="1" t="s">
        <v>239</v>
      </c>
      <c r="D84" s="1">
        <v>2.14</v>
      </c>
      <c r="E84" s="1">
        <v>0.82</v>
      </c>
      <c r="F84" s="5">
        <v>4.5984058859595338</v>
      </c>
      <c r="G84" s="5">
        <v>1.4015941140404662</v>
      </c>
    </row>
    <row r="85" spans="1:7" x14ac:dyDescent="0.15">
      <c r="A85" s="1" t="s">
        <v>204</v>
      </c>
      <c r="B85" s="1">
        <v>293.5</v>
      </c>
      <c r="C85" s="1" t="s">
        <v>239</v>
      </c>
      <c r="D85" s="1">
        <v>2.13</v>
      </c>
      <c r="E85" s="1">
        <v>2.19</v>
      </c>
      <c r="F85" s="5">
        <v>2.5553662691652472</v>
      </c>
      <c r="G85" s="5">
        <v>3.4446337308347528</v>
      </c>
    </row>
    <row r="86" spans="1:7" x14ac:dyDescent="0.15">
      <c r="A86" s="1" t="s">
        <v>186</v>
      </c>
      <c r="B86" s="1">
        <v>177.7</v>
      </c>
      <c r="C86" s="1" t="s">
        <v>239</v>
      </c>
      <c r="D86" s="1">
        <v>2.19</v>
      </c>
      <c r="E86" s="1">
        <v>0.93</v>
      </c>
      <c r="F86" s="5">
        <v>4.220596510973551</v>
      </c>
      <c r="G86" s="5">
        <v>1.779403489026449</v>
      </c>
    </row>
    <row r="87" spans="1:7" x14ac:dyDescent="0.15">
      <c r="A87" s="1" t="s">
        <v>160</v>
      </c>
      <c r="B87" s="1">
        <v>115.1</v>
      </c>
      <c r="C87" s="1" t="s">
        <v>239</v>
      </c>
      <c r="D87" s="1">
        <v>2.1</v>
      </c>
      <c r="E87" s="1">
        <v>1.1499999999999999</v>
      </c>
      <c r="F87" s="5">
        <v>6</v>
      </c>
      <c r="G87" s="5">
        <v>0</v>
      </c>
    </row>
    <row r="88" spans="1:7" x14ac:dyDescent="0.15">
      <c r="A88" s="1" t="s">
        <v>141</v>
      </c>
      <c r="B88" s="1">
        <v>277.10000000000002</v>
      </c>
      <c r="C88" s="1" t="s">
        <v>239</v>
      </c>
      <c r="D88" s="1">
        <v>2.15</v>
      </c>
      <c r="E88" s="1">
        <v>1.3</v>
      </c>
      <c r="F88" s="5">
        <v>2.7066041140382531</v>
      </c>
      <c r="G88" s="5">
        <v>3.2933958859617469</v>
      </c>
    </row>
    <row r="89" spans="1:7" x14ac:dyDescent="0.15">
      <c r="A89" s="1" t="s">
        <v>185</v>
      </c>
      <c r="B89" s="1">
        <v>125.9</v>
      </c>
      <c r="C89" s="1" t="s">
        <v>239</v>
      </c>
      <c r="D89" s="1">
        <v>2.17</v>
      </c>
      <c r="E89" s="1">
        <v>0.36</v>
      </c>
      <c r="F89" s="5">
        <v>5.957108816521048</v>
      </c>
      <c r="G89" s="5">
        <v>4.2891183478952044E-2</v>
      </c>
    </row>
    <row r="90" spans="1:7" x14ac:dyDescent="0.15">
      <c r="A90" s="1" t="s">
        <v>159</v>
      </c>
      <c r="B90" s="1">
        <v>63.3</v>
      </c>
      <c r="C90" s="1" t="s">
        <v>239</v>
      </c>
      <c r="D90" s="1">
        <v>2.0499999999999998</v>
      </c>
      <c r="E90" s="1">
        <v>0.53</v>
      </c>
      <c r="F90" s="5">
        <v>6</v>
      </c>
      <c r="G90" s="5">
        <v>0</v>
      </c>
    </row>
    <row r="91" spans="1:7" x14ac:dyDescent="0.15">
      <c r="A91" s="1" t="s">
        <v>140</v>
      </c>
      <c r="B91" s="1">
        <v>348.7</v>
      </c>
      <c r="C91" s="1" t="s">
        <v>239</v>
      </c>
      <c r="D91" s="1">
        <v>2.11</v>
      </c>
      <c r="E91" s="1">
        <v>1.9</v>
      </c>
      <c r="F91" s="5">
        <v>2.1508459994264411</v>
      </c>
      <c r="G91" s="5">
        <v>3.8491540005735589</v>
      </c>
    </row>
    <row r="92" spans="1:7" x14ac:dyDescent="0.15">
      <c r="A92" s="1" t="s">
        <v>184</v>
      </c>
      <c r="B92" s="1">
        <v>89.3</v>
      </c>
      <c r="C92" s="1" t="s">
        <v>239</v>
      </c>
      <c r="D92" s="1">
        <v>1.98</v>
      </c>
      <c r="E92" s="1">
        <v>0.71</v>
      </c>
      <c r="F92" s="5">
        <v>6</v>
      </c>
      <c r="G92" s="5">
        <v>0</v>
      </c>
    </row>
    <row r="93" spans="1:7" x14ac:dyDescent="0.15">
      <c r="A93" s="1" t="s">
        <v>158</v>
      </c>
      <c r="B93" s="1">
        <v>317.89999999999998</v>
      </c>
      <c r="C93" s="1" t="s">
        <v>239</v>
      </c>
      <c r="D93" s="1">
        <v>2.15</v>
      </c>
      <c r="E93" s="1">
        <v>1.55</v>
      </c>
      <c r="F93" s="5">
        <v>2.3592324630386914</v>
      </c>
      <c r="G93" s="5">
        <v>3.6407675369613086</v>
      </c>
    </row>
    <row r="94" spans="1:7" x14ac:dyDescent="0.15">
      <c r="A94" s="1" t="s">
        <v>139</v>
      </c>
      <c r="B94" s="1">
        <v>317.7</v>
      </c>
      <c r="C94" s="1" t="s">
        <v>239</v>
      </c>
      <c r="D94" s="1">
        <v>2.09</v>
      </c>
      <c r="E94" s="1">
        <v>1.25</v>
      </c>
      <c r="F94" s="5">
        <v>2.3607176581680833</v>
      </c>
      <c r="G94" s="5">
        <v>3.6392823418319167</v>
      </c>
    </row>
    <row r="95" spans="1:7" x14ac:dyDescent="0.15">
      <c r="A95" s="1" t="s">
        <v>183</v>
      </c>
      <c r="B95" s="1">
        <v>233.6</v>
      </c>
      <c r="C95" s="1" t="s">
        <v>239</v>
      </c>
      <c r="D95" s="1">
        <v>2.0699999999999998</v>
      </c>
      <c r="E95" s="1">
        <v>1.1599999999999999</v>
      </c>
      <c r="F95" s="5">
        <v>3.2106164383561646</v>
      </c>
      <c r="G95" s="5">
        <v>2.7893835616438354</v>
      </c>
    </row>
    <row r="96" spans="1:7" x14ac:dyDescent="0.15">
      <c r="A96" s="1" t="s">
        <v>157</v>
      </c>
      <c r="B96" s="1">
        <v>223.2</v>
      </c>
      <c r="C96" s="1" t="s">
        <v>239</v>
      </c>
      <c r="D96" s="1">
        <v>2.12</v>
      </c>
      <c r="E96" s="1">
        <v>1.73</v>
      </c>
      <c r="F96" s="5">
        <v>3.360215053763441</v>
      </c>
      <c r="G96" s="5">
        <v>2.639784946236559</v>
      </c>
    </row>
    <row r="97" spans="1:7" x14ac:dyDescent="0.15">
      <c r="A97" s="1" t="s">
        <v>138</v>
      </c>
      <c r="B97" s="1">
        <v>278.8</v>
      </c>
      <c r="C97" s="1" t="s">
        <v>239</v>
      </c>
      <c r="D97" s="1">
        <v>2.13</v>
      </c>
      <c r="E97" s="1">
        <v>0.77</v>
      </c>
      <c r="F97" s="5">
        <v>2.6901004304160687</v>
      </c>
      <c r="G97" s="5">
        <v>3.3098995695839313</v>
      </c>
    </row>
    <row r="98" spans="1:7" x14ac:dyDescent="0.15">
      <c r="A98" s="1" t="s">
        <v>182</v>
      </c>
      <c r="B98" s="1">
        <v>213.3</v>
      </c>
      <c r="C98" s="1" t="s">
        <v>239</v>
      </c>
      <c r="D98" s="1">
        <v>2.11</v>
      </c>
      <c r="E98" s="1">
        <v>1.73</v>
      </c>
      <c r="F98" s="5">
        <v>3.5161744022503516</v>
      </c>
      <c r="G98" s="5">
        <v>2.4838255977496484</v>
      </c>
    </row>
    <row r="99" spans="1:7" x14ac:dyDescent="0.15">
      <c r="A99" s="1" t="s">
        <v>156</v>
      </c>
      <c r="B99" s="1">
        <v>258.89999999999998</v>
      </c>
      <c r="C99" s="1" t="s">
        <v>239</v>
      </c>
      <c r="D99" s="1">
        <v>2.12</v>
      </c>
      <c r="E99" s="1">
        <v>0.62</v>
      </c>
      <c r="F99" s="5">
        <v>2.8968713789107765</v>
      </c>
      <c r="G99" s="5">
        <v>3.1031286210892235</v>
      </c>
    </row>
    <row r="100" spans="1:7" x14ac:dyDescent="0.15">
      <c r="A100" s="1" t="s">
        <v>137</v>
      </c>
      <c r="B100" s="1">
        <v>151.80000000000001</v>
      </c>
      <c r="C100" s="1" t="s">
        <v>239</v>
      </c>
      <c r="D100" s="1">
        <v>2.08</v>
      </c>
      <c r="E100" s="1">
        <v>1.5</v>
      </c>
      <c r="F100" s="5">
        <v>4.9407114624505928</v>
      </c>
      <c r="G100" s="5">
        <v>1.0592885375494072</v>
      </c>
    </row>
    <row r="101" spans="1:7" x14ac:dyDescent="0.15">
      <c r="A101" s="1" t="s">
        <v>181</v>
      </c>
      <c r="B101" s="1">
        <v>111.7</v>
      </c>
      <c r="C101" s="1" t="s">
        <v>239</v>
      </c>
      <c r="D101" s="1">
        <v>2.0299999999999998</v>
      </c>
      <c r="E101" s="1">
        <v>0.84</v>
      </c>
      <c r="F101" s="5">
        <v>6</v>
      </c>
      <c r="G101" s="5">
        <v>0</v>
      </c>
    </row>
    <row r="102" spans="1:7" x14ac:dyDescent="0.15">
      <c r="A102" s="1" t="s">
        <v>155</v>
      </c>
      <c r="B102" s="1">
        <v>158.69999999999999</v>
      </c>
      <c r="C102" s="1" t="s">
        <v>239</v>
      </c>
      <c r="D102" s="1">
        <v>2.11</v>
      </c>
      <c r="E102" s="1">
        <v>0.53</v>
      </c>
      <c r="F102" s="5">
        <v>4.7258979206049156</v>
      </c>
      <c r="G102" s="5">
        <v>1.2741020793950844</v>
      </c>
    </row>
    <row r="103" spans="1:7" x14ac:dyDescent="0.15">
      <c r="A103" s="1" t="s">
        <v>136</v>
      </c>
      <c r="B103" s="1">
        <v>234.4</v>
      </c>
      <c r="C103" s="1" t="s">
        <v>239</v>
      </c>
      <c r="D103" s="1">
        <v>2.08</v>
      </c>
      <c r="E103" s="1">
        <v>1.25</v>
      </c>
      <c r="F103" s="5">
        <v>3.1996587030716723</v>
      </c>
      <c r="G103" s="5">
        <v>2.8003412969283277</v>
      </c>
    </row>
    <row r="104" spans="1:7" x14ac:dyDescent="0.15">
      <c r="A104" s="1" t="s">
        <v>180</v>
      </c>
      <c r="B104" s="1">
        <v>172.3</v>
      </c>
      <c r="C104" s="1" t="s">
        <v>239</v>
      </c>
      <c r="D104" s="1">
        <v>2.13</v>
      </c>
      <c r="E104" s="1">
        <v>2.12</v>
      </c>
      <c r="F104" s="5">
        <v>4.3528728961114336</v>
      </c>
      <c r="G104" s="5">
        <v>1.6471271038885664</v>
      </c>
    </row>
    <row r="105" spans="1:7" x14ac:dyDescent="0.15">
      <c r="A105" s="1" t="s">
        <v>154</v>
      </c>
      <c r="B105" s="1">
        <v>90.1</v>
      </c>
      <c r="C105" s="1" t="s">
        <v>239</v>
      </c>
      <c r="D105" s="1">
        <v>2.1</v>
      </c>
      <c r="E105" s="1">
        <v>0.53</v>
      </c>
      <c r="F105" s="5">
        <v>6</v>
      </c>
      <c r="G105" s="5">
        <v>0</v>
      </c>
    </row>
    <row r="106" spans="1:7" x14ac:dyDescent="0.15">
      <c r="A106" s="1" t="s">
        <v>135</v>
      </c>
      <c r="B106" s="1">
        <v>174.9</v>
      </c>
      <c r="C106" s="1" t="s">
        <v>239</v>
      </c>
      <c r="D106" s="1">
        <v>2.08</v>
      </c>
      <c r="E106" s="1">
        <v>1.32</v>
      </c>
      <c r="F106" s="5">
        <v>4.2881646655231558</v>
      </c>
      <c r="G106" s="5">
        <v>1.7118353344768442</v>
      </c>
    </row>
    <row r="107" spans="1:7" x14ac:dyDescent="0.15">
      <c r="A107" s="1" t="s">
        <v>179</v>
      </c>
      <c r="B107" s="1">
        <v>158.80000000000001</v>
      </c>
      <c r="C107" s="1" t="s">
        <v>239</v>
      </c>
      <c r="D107" s="1">
        <v>2.08</v>
      </c>
      <c r="E107" s="1">
        <v>1.81</v>
      </c>
      <c r="F107" s="5">
        <v>4.7229219143576824</v>
      </c>
      <c r="G107" s="5">
        <v>1.2770780856423176</v>
      </c>
    </row>
    <row r="108" spans="1:7" x14ac:dyDescent="0.15">
      <c r="A108" s="1" t="s">
        <v>153</v>
      </c>
      <c r="B108" s="1">
        <v>99.3</v>
      </c>
      <c r="C108" s="1" t="s">
        <v>239</v>
      </c>
      <c r="D108" s="1">
        <v>2.09</v>
      </c>
      <c r="E108" s="1">
        <v>1.26</v>
      </c>
      <c r="F108" s="5">
        <v>6</v>
      </c>
      <c r="G108" s="5">
        <v>0</v>
      </c>
    </row>
    <row r="109" spans="1:7" x14ac:dyDescent="0.15">
      <c r="A109" s="1" t="s">
        <v>134</v>
      </c>
      <c r="B109" s="1">
        <v>228.6</v>
      </c>
      <c r="C109" s="1" t="s">
        <v>239</v>
      </c>
      <c r="D109" s="1">
        <v>2.12</v>
      </c>
      <c r="E109" s="1">
        <v>1.98</v>
      </c>
      <c r="F109" s="5">
        <v>3.2808398950131235</v>
      </c>
      <c r="G109" s="5">
        <v>2.7191601049868765</v>
      </c>
    </row>
    <row r="110" spans="1:7" x14ac:dyDescent="0.15">
      <c r="A110" s="1" t="s">
        <v>178</v>
      </c>
      <c r="B110" s="1">
        <v>76.5</v>
      </c>
      <c r="C110" s="1" t="s">
        <v>239</v>
      </c>
      <c r="D110" s="1">
        <v>2.04</v>
      </c>
      <c r="E110" s="1">
        <v>0.42</v>
      </c>
      <c r="F110" s="5">
        <v>6</v>
      </c>
      <c r="G110" s="5">
        <v>0</v>
      </c>
    </row>
    <row r="111" spans="1:7" x14ac:dyDescent="0.15">
      <c r="A111" s="1" t="s">
        <v>203</v>
      </c>
      <c r="B111" s="1">
        <v>179.7</v>
      </c>
      <c r="C111" s="1" t="s">
        <v>239</v>
      </c>
      <c r="D111" s="1">
        <v>2.1</v>
      </c>
      <c r="E111" s="1">
        <v>1.61</v>
      </c>
      <c r="F111" s="5">
        <v>4.1736227045075127</v>
      </c>
      <c r="G111" s="5">
        <v>1.8263772954924873</v>
      </c>
    </row>
    <row r="112" spans="1:7" x14ac:dyDescent="0.15">
      <c r="A112" s="1" t="s">
        <v>133</v>
      </c>
      <c r="B112" s="1">
        <v>131.4</v>
      </c>
      <c r="C112" s="1" t="s">
        <v>239</v>
      </c>
      <c r="D112" s="1">
        <v>2</v>
      </c>
      <c r="E112" s="1">
        <v>0.57999999999999996</v>
      </c>
      <c r="F112" s="5">
        <v>5.7077625570776256</v>
      </c>
      <c r="G112" s="5">
        <v>0.29223744292237441</v>
      </c>
    </row>
    <row r="113" spans="1:7" x14ac:dyDescent="0.15">
      <c r="A113" s="1" t="s">
        <v>177</v>
      </c>
      <c r="B113" s="1">
        <v>109.7</v>
      </c>
      <c r="C113" s="1" t="s">
        <v>239</v>
      </c>
      <c r="D113" s="1">
        <v>2.12</v>
      </c>
      <c r="E113" s="1">
        <v>0.57999999999999996</v>
      </c>
      <c r="F113" s="5">
        <v>6</v>
      </c>
      <c r="G113" s="5">
        <v>0</v>
      </c>
    </row>
    <row r="114" spans="1:7" x14ac:dyDescent="0.15">
      <c r="A114" s="1" t="s">
        <v>152</v>
      </c>
      <c r="B114" s="1">
        <v>155.6</v>
      </c>
      <c r="C114" s="1" t="s">
        <v>239</v>
      </c>
      <c r="D114" s="1">
        <v>2.08</v>
      </c>
      <c r="E114" s="1">
        <v>1.24</v>
      </c>
      <c r="F114" s="5">
        <v>4.8200514138817478</v>
      </c>
      <c r="G114" s="5">
        <v>1.1799485861182522</v>
      </c>
    </row>
  </sheetData>
  <conditionalFormatting sqref="F1">
    <cfRule type="cellIs" dxfId="1" priority="2" operator="lessThan">
      <formula>6</formula>
    </cfRule>
  </conditionalFormatting>
  <conditionalFormatting sqref="G1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37022-11E9-9D49-8EA3-00331B17568E}">
  <dimension ref="A1:O82"/>
  <sheetViews>
    <sheetView workbookViewId="0">
      <selection activeCell="A74" sqref="A74:A75"/>
    </sheetView>
  </sheetViews>
  <sheetFormatPr baseColWidth="10" defaultRowHeight="16" x14ac:dyDescent="0.2"/>
  <sheetData>
    <row r="1" spans="1:15" x14ac:dyDescent="0.2">
      <c r="A1" s="8" t="s">
        <v>151</v>
      </c>
      <c r="B1" s="8" t="s">
        <v>150</v>
      </c>
      <c r="C1" s="8" t="s">
        <v>149</v>
      </c>
      <c r="D1" s="8" t="s">
        <v>148</v>
      </c>
      <c r="E1" s="8" t="s">
        <v>147</v>
      </c>
      <c r="F1" s="8" t="s">
        <v>146</v>
      </c>
      <c r="G1" s="8" t="s">
        <v>255</v>
      </c>
      <c r="H1" s="8" t="s">
        <v>254</v>
      </c>
      <c r="I1" s="8" t="s">
        <v>145</v>
      </c>
      <c r="J1" s="8" t="s">
        <v>253</v>
      </c>
      <c r="K1" s="8" t="s">
        <v>252</v>
      </c>
      <c r="L1" s="7" t="s">
        <v>1</v>
      </c>
      <c r="M1" s="7" t="s">
        <v>2</v>
      </c>
      <c r="N1" s="7" t="s">
        <v>3</v>
      </c>
      <c r="O1" s="7" t="s">
        <v>4</v>
      </c>
    </row>
    <row r="2" spans="1:15" x14ac:dyDescent="0.2">
      <c r="A2" s="9" t="s">
        <v>27</v>
      </c>
      <c r="B2" s="9"/>
      <c r="C2" s="9">
        <v>34.091629083422198</v>
      </c>
      <c r="D2" s="9">
        <v>30.561546933101599</v>
      </c>
      <c r="E2" s="9">
        <v>33.062103960857897</v>
      </c>
      <c r="F2" s="9"/>
      <c r="G2" s="9">
        <v>31.862913544414699</v>
      </c>
      <c r="H2" s="9">
        <v>31.289686132692999</v>
      </c>
      <c r="I2" s="9">
        <v>32.616936814368103</v>
      </c>
      <c r="J2" s="9"/>
      <c r="K2" s="9">
        <v>34.796529966526897</v>
      </c>
      <c r="L2" s="9">
        <f>VLOOKUP(A2, 'Table lookup_N2'!$A$3:$G$116, 2,FALSE)</f>
        <v>9.6</v>
      </c>
      <c r="M2" s="9" t="str">
        <f>VLOOKUP(A2, 'Table lookup_N2'!$A$3:$G$116, 3,FALSE)</f>
        <v>ng/µl</v>
      </c>
      <c r="N2" s="9">
        <f>VLOOKUP(A2, 'Table lookup_N2'!$A$3:$G$116, 4,FALSE)</f>
        <v>2.08</v>
      </c>
      <c r="O2" s="9">
        <f>VLOOKUP(A2, 'Table lookup_N2'!$A$3:$G$116, 5,FALSE)</f>
        <v>0.03</v>
      </c>
    </row>
    <row r="3" spans="1:15" x14ac:dyDescent="0.2">
      <c r="A3" s="9" t="s">
        <v>28</v>
      </c>
      <c r="B3" s="9"/>
      <c r="C3" s="9">
        <v>32.630286056859497</v>
      </c>
      <c r="D3" s="9">
        <v>32.480308889096001</v>
      </c>
      <c r="E3" s="9">
        <v>31.675457450808601</v>
      </c>
      <c r="F3" s="9"/>
      <c r="G3" s="9">
        <v>33.127293920941703</v>
      </c>
      <c r="H3" s="9">
        <v>32.328218926910502</v>
      </c>
      <c r="I3" s="9">
        <v>31.193318124066501</v>
      </c>
      <c r="J3" s="9">
        <v>35.330325204423197</v>
      </c>
      <c r="K3" s="9">
        <v>34.766203367250199</v>
      </c>
      <c r="L3" s="9">
        <f>VLOOKUP(A3, 'Table lookup_N2'!$A$3:$G$116, 2,FALSE)</f>
        <v>20.3</v>
      </c>
      <c r="M3" s="9" t="str">
        <f>VLOOKUP(A3, 'Table lookup_N2'!$A$3:$G$116, 3,FALSE)</f>
        <v>ng/µl</v>
      </c>
      <c r="N3" s="9">
        <f>VLOOKUP(A3, 'Table lookup_N2'!$A$3:$G$116, 4,FALSE)</f>
        <v>1.8</v>
      </c>
      <c r="O3" s="9">
        <f>VLOOKUP(A3, 'Table lookup_N2'!$A$3:$G$116, 5,FALSE)</f>
        <v>0.24</v>
      </c>
    </row>
    <row r="4" spans="1:15" x14ac:dyDescent="0.2">
      <c r="A4" s="21" t="s">
        <v>24</v>
      </c>
      <c r="B4" s="10"/>
      <c r="C4" s="10"/>
      <c r="D4" s="10">
        <v>30.0779271502917</v>
      </c>
      <c r="E4" s="10">
        <v>31.627025537912498</v>
      </c>
      <c r="F4" s="10"/>
      <c r="G4" s="10"/>
      <c r="H4" s="10"/>
      <c r="I4" s="10"/>
      <c r="J4" s="10"/>
      <c r="K4" s="10">
        <v>30.647014975311698</v>
      </c>
      <c r="L4" s="10">
        <f>VLOOKUP(A4, 'Table lookup_N2'!$A$3:$G$116, 2,FALSE)</f>
        <v>24.3</v>
      </c>
      <c r="M4" s="10" t="str">
        <f>VLOOKUP(A4, 'Table lookup_N2'!$A$3:$G$116, 3,FALSE)</f>
        <v>ng/µl</v>
      </c>
      <c r="N4" s="10">
        <f>VLOOKUP(A4, 'Table lookup_N2'!$A$3:$G$116, 4,FALSE)</f>
        <v>1.97</v>
      </c>
      <c r="O4" s="10">
        <f>VLOOKUP(A4, 'Table lookup_N2'!$A$3:$G$116, 5,FALSE)</f>
        <v>0.5</v>
      </c>
    </row>
    <row r="5" spans="1:15" x14ac:dyDescent="0.2">
      <c r="A5" s="21" t="s">
        <v>30</v>
      </c>
      <c r="B5" s="10"/>
      <c r="C5" s="10"/>
      <c r="D5" s="10"/>
      <c r="E5" s="10">
        <v>31.2903934266687</v>
      </c>
      <c r="F5" s="10"/>
      <c r="G5" s="10"/>
      <c r="H5" s="10"/>
      <c r="I5" s="10"/>
      <c r="J5" s="10">
        <v>32.167350775827501</v>
      </c>
      <c r="K5" s="10">
        <v>30.070165995115499</v>
      </c>
      <c r="L5" s="10">
        <f>VLOOKUP(A5, 'Table lookup_N2'!$A$3:$G$116, 2,FALSE)</f>
        <v>25.5</v>
      </c>
      <c r="M5" s="10" t="str">
        <f>VLOOKUP(A5, 'Table lookup_N2'!$A$3:$G$116, 3,FALSE)</f>
        <v>ng/µl</v>
      </c>
      <c r="N5" s="10">
        <f>VLOOKUP(A5, 'Table lookup_N2'!$A$3:$G$116, 4,FALSE)</f>
        <v>1.84</v>
      </c>
      <c r="O5" s="10">
        <f>VLOOKUP(A5, 'Table lookup_N2'!$A$3:$G$116, 5,FALSE)</f>
        <v>0.3</v>
      </c>
    </row>
    <row r="6" spans="1:15" x14ac:dyDescent="0.2">
      <c r="A6" t="s">
        <v>73</v>
      </c>
      <c r="J6">
        <v>31.556486686600099</v>
      </c>
      <c r="L6">
        <f>VLOOKUP(A6, 'Table lookup_N2'!$A$3:$G$116, 2,FALSE)</f>
        <v>465.5</v>
      </c>
      <c r="M6" t="str">
        <f>VLOOKUP(A6, 'Table lookup_N2'!$A$3:$G$116, 3,FALSE)</f>
        <v>ng/µl</v>
      </c>
      <c r="N6">
        <f>VLOOKUP(A6, 'Table lookup_N2'!$A$3:$G$116, 4,FALSE)</f>
        <v>1.46</v>
      </c>
      <c r="O6">
        <f>VLOOKUP(A6, 'Table lookup_N2'!$A$3:$G$116, 5,FALSE)</f>
        <v>2.27</v>
      </c>
    </row>
    <row r="7" spans="1:15" x14ac:dyDescent="0.2">
      <c r="A7" t="s">
        <v>74</v>
      </c>
      <c r="J7">
        <v>30.921299330105501</v>
      </c>
      <c r="L7">
        <f>VLOOKUP(A7, 'Table lookup_N2'!$A$3:$G$116, 2,FALSE)</f>
        <v>322.3</v>
      </c>
      <c r="M7" t="str">
        <f>VLOOKUP(A7, 'Table lookup_N2'!$A$3:$G$116, 3,FALSE)</f>
        <v>ng/µl</v>
      </c>
      <c r="N7">
        <f>VLOOKUP(A7, 'Table lookup_N2'!$A$3:$G$116, 4,FALSE)</f>
        <v>1.96</v>
      </c>
      <c r="O7">
        <f>VLOOKUP(A7, 'Table lookup_N2'!$A$3:$G$116, 5,FALSE)</f>
        <v>1.59</v>
      </c>
    </row>
    <row r="8" spans="1:15" x14ac:dyDescent="0.2">
      <c r="A8" t="s">
        <v>75</v>
      </c>
      <c r="J8">
        <v>32.288968257740102</v>
      </c>
      <c r="L8">
        <f>VLOOKUP(A8, 'Table lookup_N2'!$A$3:$G$116, 2,FALSE)</f>
        <v>269.89999999999998</v>
      </c>
      <c r="M8" t="str">
        <f>VLOOKUP(A8, 'Table lookup_N2'!$A$3:$G$116, 3,FALSE)</f>
        <v>ng/µl</v>
      </c>
      <c r="N8">
        <f>VLOOKUP(A8, 'Table lookup_N2'!$A$3:$G$116, 4,FALSE)</f>
        <v>1.63</v>
      </c>
      <c r="O8">
        <f>VLOOKUP(A8, 'Table lookup_N2'!$A$3:$G$116, 5,FALSE)</f>
        <v>1.28</v>
      </c>
    </row>
    <row r="9" spans="1:15" x14ac:dyDescent="0.2">
      <c r="A9" t="s">
        <v>76</v>
      </c>
      <c r="D9">
        <v>30.937506570329202</v>
      </c>
      <c r="L9">
        <f>VLOOKUP(A9, 'Table lookup_N2'!$A$3:$G$116, 2,FALSE)</f>
        <v>639</v>
      </c>
      <c r="M9" t="str">
        <f>VLOOKUP(A9, 'Table lookup_N2'!$A$3:$G$116, 3,FALSE)</f>
        <v>ng/µl</v>
      </c>
      <c r="N9">
        <f>VLOOKUP(A9, 'Table lookup_N2'!$A$3:$G$116, 4,FALSE)</f>
        <v>1.66</v>
      </c>
      <c r="O9">
        <f>VLOOKUP(A9, 'Table lookup_N2'!$A$3:$G$116, 5,FALSE)</f>
        <v>2.35</v>
      </c>
    </row>
    <row r="10" spans="1:15" x14ac:dyDescent="0.2">
      <c r="A10" t="s">
        <v>77</v>
      </c>
      <c r="D10">
        <v>30.940650411663199</v>
      </c>
      <c r="L10">
        <f>VLOOKUP(A10, 'Table lookup_N2'!$A$3:$G$116, 2,FALSE)</f>
        <v>139.80000000000001</v>
      </c>
      <c r="M10" t="str">
        <f>VLOOKUP(A10, 'Table lookup_N2'!$A$3:$G$116, 3,FALSE)</f>
        <v>ng/µl</v>
      </c>
      <c r="N10">
        <f>VLOOKUP(A10, 'Table lookup_N2'!$A$3:$G$116, 4,FALSE)</f>
        <v>2.15</v>
      </c>
      <c r="O10">
        <f>VLOOKUP(A10, 'Table lookup_N2'!$A$3:$G$116, 5,FALSE)</f>
        <v>0.52</v>
      </c>
    </row>
    <row r="11" spans="1:15" x14ac:dyDescent="0.2">
      <c r="A11" t="s">
        <v>78</v>
      </c>
      <c r="D11">
        <v>30.938825439372099</v>
      </c>
      <c r="L11">
        <f>VLOOKUP(A11, 'Table lookup_N2'!$A$3:$G$116, 2,FALSE)</f>
        <v>333</v>
      </c>
      <c r="M11" t="str">
        <f>VLOOKUP(A11, 'Table lookup_N2'!$A$3:$G$116, 3,FALSE)</f>
        <v>ng/µl</v>
      </c>
      <c r="N11">
        <f>VLOOKUP(A11, 'Table lookup_N2'!$A$3:$G$116, 4,FALSE)</f>
        <v>2.11</v>
      </c>
      <c r="O11">
        <f>VLOOKUP(A11, 'Table lookup_N2'!$A$3:$G$116, 5,FALSE)</f>
        <v>1.04</v>
      </c>
    </row>
    <row r="12" spans="1:15" x14ac:dyDescent="0.2">
      <c r="A12" t="s">
        <v>79</v>
      </c>
      <c r="I12">
        <v>30.127131817769101</v>
      </c>
      <c r="J12">
        <v>30.3583724934991</v>
      </c>
      <c r="L12">
        <f>VLOOKUP(A12, 'Table lookup_N2'!$A$3:$G$116, 2,FALSE)</f>
        <v>97.2</v>
      </c>
      <c r="M12" t="str">
        <f>VLOOKUP(A12, 'Table lookup_N2'!$A$3:$G$116, 3,FALSE)</f>
        <v>ng/µl</v>
      </c>
      <c r="N12">
        <f>VLOOKUP(A12, 'Table lookup_N2'!$A$3:$G$116, 4,FALSE)</f>
        <v>2.1800000000000002</v>
      </c>
      <c r="O12">
        <f>VLOOKUP(A12, 'Table lookup_N2'!$A$3:$G$116, 5,FALSE)</f>
        <v>0.35</v>
      </c>
    </row>
    <row r="13" spans="1:15" x14ac:dyDescent="0.2">
      <c r="A13" t="s">
        <v>81</v>
      </c>
      <c r="G13">
        <v>33.402225629528999</v>
      </c>
      <c r="I13">
        <v>30.562986919277499</v>
      </c>
      <c r="L13">
        <f>VLOOKUP(A13, 'Table lookup_N2'!$A$3:$G$116, 2,FALSE)</f>
        <v>347.2</v>
      </c>
      <c r="M13" t="str">
        <f>VLOOKUP(A13, 'Table lookup_N2'!$A$3:$G$116, 3,FALSE)</f>
        <v>ng/µl</v>
      </c>
      <c r="N13">
        <f>VLOOKUP(A13, 'Table lookup_N2'!$A$3:$G$116, 4,FALSE)</f>
        <v>2.02</v>
      </c>
      <c r="O13">
        <f>VLOOKUP(A13, 'Table lookup_N2'!$A$3:$G$116, 5,FALSE)</f>
        <v>0.98</v>
      </c>
    </row>
    <row r="14" spans="1:15" x14ac:dyDescent="0.2">
      <c r="A14" t="s">
        <v>82</v>
      </c>
      <c r="J14">
        <v>31.5115149965496</v>
      </c>
      <c r="L14">
        <f>VLOOKUP(A14, 'Table lookup_N2'!$A$3:$G$116, 2,FALSE)</f>
        <v>137.4</v>
      </c>
      <c r="M14" t="str">
        <f>VLOOKUP(A14, 'Table lookup_N2'!$A$3:$G$116, 3,FALSE)</f>
        <v>ng/µl</v>
      </c>
      <c r="N14">
        <f>VLOOKUP(A14, 'Table lookup_N2'!$A$3:$G$116, 4,FALSE)</f>
        <v>2.02</v>
      </c>
      <c r="O14">
        <f>VLOOKUP(A14, 'Table lookup_N2'!$A$3:$G$116, 5,FALSE)</f>
        <v>0.71</v>
      </c>
    </row>
    <row r="15" spans="1:15" x14ac:dyDescent="0.2">
      <c r="A15" t="s">
        <v>83</v>
      </c>
      <c r="J15">
        <v>30.978724443533899</v>
      </c>
      <c r="L15">
        <f>VLOOKUP(A15, 'Table lookup_N2'!$A$3:$G$116, 2,FALSE)</f>
        <v>559.29999999999995</v>
      </c>
      <c r="M15" t="str">
        <f>VLOOKUP(A15, 'Table lookup_N2'!$A$3:$G$116, 3,FALSE)</f>
        <v>ng/µl</v>
      </c>
      <c r="N15">
        <f>VLOOKUP(A15, 'Table lookup_N2'!$A$3:$G$116, 4,FALSE)</f>
        <v>1.65</v>
      </c>
      <c r="O15">
        <f>VLOOKUP(A15, 'Table lookup_N2'!$A$3:$G$116, 5,FALSE)</f>
        <v>1.33</v>
      </c>
    </row>
    <row r="16" spans="1:15" x14ac:dyDescent="0.2">
      <c r="A16" t="s">
        <v>84</v>
      </c>
      <c r="J16">
        <v>30.060738155550101</v>
      </c>
      <c r="L16">
        <f>VLOOKUP(A16, 'Table lookup_N2'!$A$3:$G$116, 2,FALSE)</f>
        <v>533.29999999999995</v>
      </c>
      <c r="M16" t="str">
        <f>VLOOKUP(A16, 'Table lookup_N2'!$A$3:$G$116, 3,FALSE)</f>
        <v>ng/µl</v>
      </c>
      <c r="N16">
        <f>VLOOKUP(A16, 'Table lookup_N2'!$A$3:$G$116, 4,FALSE)</f>
        <v>1.72</v>
      </c>
      <c r="O16">
        <f>VLOOKUP(A16, 'Table lookup_N2'!$A$3:$G$116, 5,FALSE)</f>
        <v>1.69</v>
      </c>
    </row>
    <row r="17" spans="1:15" x14ac:dyDescent="0.2">
      <c r="A17" t="s">
        <v>85</v>
      </c>
      <c r="I17">
        <v>30.216452083556099</v>
      </c>
      <c r="J17">
        <v>30.912938720005101</v>
      </c>
      <c r="L17">
        <f>VLOOKUP(A17, 'Table lookup_N2'!$A$3:$G$116, 2,FALSE)</f>
        <v>254</v>
      </c>
      <c r="M17" t="str">
        <f>VLOOKUP(A17, 'Table lookup_N2'!$A$3:$G$116, 3,FALSE)</f>
        <v>ng/µl</v>
      </c>
      <c r="N17">
        <f>VLOOKUP(A17, 'Table lookup_N2'!$A$3:$G$116, 4,FALSE)</f>
        <v>1.68</v>
      </c>
      <c r="O17">
        <f>VLOOKUP(A17, 'Table lookup_N2'!$A$3:$G$116, 5,FALSE)</f>
        <v>1.49</v>
      </c>
    </row>
    <row r="18" spans="1:15" x14ac:dyDescent="0.2">
      <c r="A18" t="s">
        <v>86</v>
      </c>
      <c r="J18">
        <v>30.006305913133598</v>
      </c>
      <c r="L18">
        <f>VLOOKUP(A18, 'Table lookup_N2'!$A$3:$G$116, 2,FALSE)</f>
        <v>388.4</v>
      </c>
      <c r="M18" t="str">
        <f>VLOOKUP(A18, 'Table lookup_N2'!$A$3:$G$116, 3,FALSE)</f>
        <v>ng/µl</v>
      </c>
      <c r="N18">
        <f>VLOOKUP(A18, 'Table lookup_N2'!$A$3:$G$116, 4,FALSE)</f>
        <v>2.14</v>
      </c>
      <c r="O18">
        <f>VLOOKUP(A18, 'Table lookup_N2'!$A$3:$G$116, 5,FALSE)</f>
        <v>0.91</v>
      </c>
    </row>
    <row r="19" spans="1:15" x14ac:dyDescent="0.2">
      <c r="A19" t="s">
        <v>87</v>
      </c>
      <c r="I19">
        <v>31.500276890074801</v>
      </c>
      <c r="J19">
        <v>30.650160612091799</v>
      </c>
      <c r="L19">
        <f>VLOOKUP(A19, 'Table lookup_N2'!$A$3:$G$116, 2,FALSE)</f>
        <v>95.5</v>
      </c>
      <c r="M19" t="str">
        <f>VLOOKUP(A19, 'Table lookup_N2'!$A$3:$G$116, 3,FALSE)</f>
        <v>ng/µl</v>
      </c>
      <c r="N19">
        <f>VLOOKUP(A19, 'Table lookup_N2'!$A$3:$G$116, 4,FALSE)</f>
        <v>2.17</v>
      </c>
      <c r="O19">
        <f>VLOOKUP(A19, 'Table lookup_N2'!$A$3:$G$116, 5,FALSE)</f>
        <v>0.85</v>
      </c>
    </row>
    <row r="20" spans="1:15" x14ac:dyDescent="0.2">
      <c r="A20" t="s">
        <v>91</v>
      </c>
      <c r="I20">
        <v>30.9303911202535</v>
      </c>
      <c r="L20">
        <f>VLOOKUP(A20, 'Table lookup_N2'!$A$3:$G$116, 2,FALSE)</f>
        <v>479.3</v>
      </c>
      <c r="M20" t="str">
        <f>VLOOKUP(A20, 'Table lookup_N2'!$A$3:$G$116, 3,FALSE)</f>
        <v>ng/µl</v>
      </c>
      <c r="N20">
        <f>VLOOKUP(A20, 'Table lookup_N2'!$A$3:$G$116, 4,FALSE)</f>
        <v>1.78</v>
      </c>
      <c r="O20">
        <f>VLOOKUP(A20, 'Table lookup_N2'!$A$3:$G$116, 5,FALSE)</f>
        <v>2.09</v>
      </c>
    </row>
    <row r="21" spans="1:15" x14ac:dyDescent="0.2">
      <c r="A21" t="s">
        <v>92</v>
      </c>
      <c r="I21">
        <v>32.239538641834699</v>
      </c>
      <c r="J21">
        <v>30.2319637259906</v>
      </c>
      <c r="L21">
        <f>VLOOKUP(A21, 'Table lookup_N2'!$A$3:$G$116, 2,FALSE)</f>
        <v>393.6</v>
      </c>
      <c r="M21" t="str">
        <f>VLOOKUP(A21, 'Table lookup_N2'!$A$3:$G$116, 3,FALSE)</f>
        <v>ng/µl</v>
      </c>
      <c r="N21">
        <f>VLOOKUP(A21, 'Table lookup_N2'!$A$3:$G$116, 4,FALSE)</f>
        <v>1.89</v>
      </c>
      <c r="O21">
        <f>VLOOKUP(A21, 'Table lookup_N2'!$A$3:$G$116, 5,FALSE)</f>
        <v>0.82</v>
      </c>
    </row>
    <row r="22" spans="1:15" x14ac:dyDescent="0.2">
      <c r="A22" t="s">
        <v>93</v>
      </c>
      <c r="I22">
        <v>31.336164309698798</v>
      </c>
      <c r="L22">
        <f>VLOOKUP(A22, 'Table lookup_N2'!$A$3:$G$116, 2,FALSE)</f>
        <v>201.3</v>
      </c>
      <c r="M22" t="str">
        <f>VLOOKUP(A22, 'Table lookup_N2'!$A$3:$G$116, 3,FALSE)</f>
        <v>ng/µl</v>
      </c>
      <c r="N22">
        <f>VLOOKUP(A22, 'Table lookup_N2'!$A$3:$G$116, 4,FALSE)</f>
        <v>2.13</v>
      </c>
      <c r="O22">
        <f>VLOOKUP(A22, 'Table lookup_N2'!$A$3:$G$116, 5,FALSE)</f>
        <v>1.74</v>
      </c>
    </row>
    <row r="23" spans="1:15" x14ac:dyDescent="0.2">
      <c r="A23" t="s">
        <v>94</v>
      </c>
      <c r="I23">
        <v>31.419799762777298</v>
      </c>
      <c r="L23">
        <f>VLOOKUP(A23, 'Table lookup_N2'!$A$3:$G$116, 2,FALSE)</f>
        <v>90.4</v>
      </c>
      <c r="M23" t="str">
        <f>VLOOKUP(A23, 'Table lookup_N2'!$A$3:$G$116, 3,FALSE)</f>
        <v>ng/µl</v>
      </c>
      <c r="N23">
        <f>VLOOKUP(A23, 'Table lookup_N2'!$A$3:$G$116, 4,FALSE)</f>
        <v>2.0699999999999998</v>
      </c>
      <c r="O23">
        <f>VLOOKUP(A23, 'Table lookup_N2'!$A$3:$G$116, 5,FALSE)</f>
        <v>1.18</v>
      </c>
    </row>
    <row r="24" spans="1:15" x14ac:dyDescent="0.2">
      <c r="A24" t="s">
        <v>95</v>
      </c>
      <c r="I24">
        <v>31.631173218019001</v>
      </c>
      <c r="L24">
        <f>VLOOKUP(A24, 'Table lookup_N2'!$A$3:$G$116, 2,FALSE)</f>
        <v>385.6</v>
      </c>
      <c r="M24" t="str">
        <f>VLOOKUP(A24, 'Table lookup_N2'!$A$3:$G$116, 3,FALSE)</f>
        <v>ng/µl</v>
      </c>
      <c r="N24">
        <f>VLOOKUP(A24, 'Table lookup_N2'!$A$3:$G$116, 4,FALSE)</f>
        <v>1.83</v>
      </c>
      <c r="O24">
        <f>VLOOKUP(A24, 'Table lookup_N2'!$A$3:$G$116, 5,FALSE)</f>
        <v>1.36</v>
      </c>
    </row>
    <row r="25" spans="1:15" x14ac:dyDescent="0.2">
      <c r="A25" t="s">
        <v>96</v>
      </c>
      <c r="I25">
        <v>31.247826613358601</v>
      </c>
      <c r="L25">
        <f>VLOOKUP(A25, 'Table lookup_N2'!$A$3:$G$116, 2,FALSE)</f>
        <v>389.7</v>
      </c>
      <c r="M25" t="str">
        <f>VLOOKUP(A25, 'Table lookup_N2'!$A$3:$G$116, 3,FALSE)</f>
        <v>ng/µl</v>
      </c>
      <c r="N25">
        <f>VLOOKUP(A25, 'Table lookup_N2'!$A$3:$G$116, 4,FALSE)</f>
        <v>1.9</v>
      </c>
      <c r="O25">
        <f>VLOOKUP(A25, 'Table lookup_N2'!$A$3:$G$116, 5,FALSE)</f>
        <v>1.41</v>
      </c>
    </row>
    <row r="26" spans="1:15" x14ac:dyDescent="0.2">
      <c r="A26" t="s">
        <v>97</v>
      </c>
      <c r="G26">
        <v>31.410372640369101</v>
      </c>
      <c r="I26">
        <v>34.045407905793198</v>
      </c>
      <c r="L26">
        <f>VLOOKUP(A26, 'Table lookup_N2'!$A$3:$G$116, 2,FALSE)</f>
        <v>474.2</v>
      </c>
      <c r="M26" t="str">
        <f>VLOOKUP(A26, 'Table lookup_N2'!$A$3:$G$116, 3,FALSE)</f>
        <v>ng/µl</v>
      </c>
      <c r="N26">
        <f>VLOOKUP(A26, 'Table lookup_N2'!$A$3:$G$116, 4,FALSE)</f>
        <v>2.14</v>
      </c>
      <c r="O26">
        <f>VLOOKUP(A26, 'Table lookup_N2'!$A$3:$G$116, 5,FALSE)</f>
        <v>1.53</v>
      </c>
    </row>
    <row r="27" spans="1:15" x14ac:dyDescent="0.2">
      <c r="A27" s="21" t="s">
        <v>98</v>
      </c>
      <c r="D27">
        <v>30.404773288015701</v>
      </c>
      <c r="G27">
        <v>31.7814707070651</v>
      </c>
      <c r="I27">
        <v>34.534876077245499</v>
      </c>
      <c r="L27">
        <f>VLOOKUP(A27, 'Table lookup_N2'!$A$3:$G$116, 2,FALSE)</f>
        <v>382.2</v>
      </c>
      <c r="M27" t="str">
        <f>VLOOKUP(A27, 'Table lookup_N2'!$A$3:$G$116, 3,FALSE)</f>
        <v>ng/µl</v>
      </c>
      <c r="N27">
        <f>VLOOKUP(A27, 'Table lookup_N2'!$A$3:$G$116, 4,FALSE)</f>
        <v>1.84</v>
      </c>
      <c r="O27">
        <f>VLOOKUP(A27, 'Table lookup_N2'!$A$3:$G$116, 5,FALSE)</f>
        <v>1.07</v>
      </c>
    </row>
    <row r="28" spans="1:15" x14ac:dyDescent="0.2">
      <c r="A28" t="s">
        <v>99</v>
      </c>
      <c r="G28">
        <v>31.676005391348099</v>
      </c>
      <c r="I28">
        <v>35.148129116119797</v>
      </c>
      <c r="L28">
        <f>VLOOKUP(A28, 'Table lookup_N2'!$A$3:$G$116, 2,FALSE)</f>
        <v>455.1</v>
      </c>
      <c r="M28" t="str">
        <f>VLOOKUP(A28, 'Table lookup_N2'!$A$3:$G$116, 3,FALSE)</f>
        <v>ng/µl</v>
      </c>
      <c r="N28">
        <f>VLOOKUP(A28, 'Table lookup_N2'!$A$3:$G$116, 4,FALSE)</f>
        <v>1.96</v>
      </c>
      <c r="O28">
        <f>VLOOKUP(A28, 'Table lookup_N2'!$A$3:$G$116, 5,FALSE)</f>
        <v>1.08</v>
      </c>
    </row>
    <row r="29" spans="1:15" x14ac:dyDescent="0.2">
      <c r="A29" t="s">
        <v>100</v>
      </c>
      <c r="I29">
        <v>30.162877812610802</v>
      </c>
      <c r="L29">
        <f>VLOOKUP(A29, 'Table lookup_N2'!$A$3:$G$116, 2,FALSE)</f>
        <v>439.5</v>
      </c>
      <c r="M29" t="str">
        <f>VLOOKUP(A29, 'Table lookup_N2'!$A$3:$G$116, 3,FALSE)</f>
        <v>ng/µl</v>
      </c>
      <c r="N29">
        <f>VLOOKUP(A29, 'Table lookup_N2'!$A$3:$G$116, 4,FALSE)</f>
        <v>1.9</v>
      </c>
      <c r="O29">
        <f>VLOOKUP(A29, 'Table lookup_N2'!$A$3:$G$116, 5,FALSE)</f>
        <v>1.6</v>
      </c>
    </row>
    <row r="30" spans="1:15" x14ac:dyDescent="0.2">
      <c r="A30" t="s">
        <v>101</v>
      </c>
      <c r="I30">
        <v>31.984757975457601</v>
      </c>
      <c r="L30">
        <f>VLOOKUP(A30, 'Table lookup_N2'!$A$3:$G$116, 2,FALSE)</f>
        <v>288.89999999999998</v>
      </c>
      <c r="M30" t="str">
        <f>VLOOKUP(A30, 'Table lookup_N2'!$A$3:$G$116, 3,FALSE)</f>
        <v>ng/µl</v>
      </c>
      <c r="N30">
        <f>VLOOKUP(A30, 'Table lookup_N2'!$A$3:$G$116, 4,FALSE)</f>
        <v>1.91</v>
      </c>
      <c r="O30">
        <f>VLOOKUP(A30, 'Table lookup_N2'!$A$3:$G$116, 5,FALSE)</f>
        <v>2.0299999999999998</v>
      </c>
    </row>
    <row r="31" spans="1:15" x14ac:dyDescent="0.2">
      <c r="A31" t="s">
        <v>102</v>
      </c>
      <c r="I31">
        <v>32.218100420640397</v>
      </c>
      <c r="L31">
        <f>VLOOKUP(A31, 'Table lookup_N2'!$A$3:$G$116, 2,FALSE)</f>
        <v>108.4</v>
      </c>
      <c r="M31" t="str">
        <f>VLOOKUP(A31, 'Table lookup_N2'!$A$3:$G$116, 3,FALSE)</f>
        <v>ng/µl</v>
      </c>
      <c r="N31">
        <f>VLOOKUP(A31, 'Table lookup_N2'!$A$3:$G$116, 4,FALSE)</f>
        <v>2.1</v>
      </c>
      <c r="O31">
        <f>VLOOKUP(A31, 'Table lookup_N2'!$A$3:$G$116, 5,FALSE)</f>
        <v>0.91</v>
      </c>
    </row>
    <row r="32" spans="1:15" x14ac:dyDescent="0.2">
      <c r="A32" t="s">
        <v>103</v>
      </c>
      <c r="I32">
        <v>32.040060171579498</v>
      </c>
      <c r="L32">
        <f>VLOOKUP(A32, 'Table lookup_N2'!$A$3:$G$116, 2,FALSE)</f>
        <v>238.7</v>
      </c>
      <c r="M32" t="str">
        <f>VLOOKUP(A32, 'Table lookup_N2'!$A$3:$G$116, 3,FALSE)</f>
        <v>ng/µl</v>
      </c>
      <c r="N32">
        <f>VLOOKUP(A32, 'Table lookup_N2'!$A$3:$G$116, 4,FALSE)</f>
        <v>2.1</v>
      </c>
      <c r="O32">
        <f>VLOOKUP(A32, 'Table lookup_N2'!$A$3:$G$116, 5,FALSE)</f>
        <v>1.6</v>
      </c>
    </row>
    <row r="33" spans="1:15" x14ac:dyDescent="0.2">
      <c r="A33" t="s">
        <v>104</v>
      </c>
      <c r="I33">
        <v>30.717890420889098</v>
      </c>
      <c r="L33">
        <f>VLOOKUP(A33, 'Table lookup_N2'!$A$3:$G$116, 2,FALSE)</f>
        <v>267.8</v>
      </c>
      <c r="M33" t="str">
        <f>VLOOKUP(A33, 'Table lookup_N2'!$A$3:$G$116, 3,FALSE)</f>
        <v>ng/µl</v>
      </c>
      <c r="N33">
        <f>VLOOKUP(A33, 'Table lookup_N2'!$A$3:$G$116, 4,FALSE)</f>
        <v>2.13</v>
      </c>
      <c r="O33">
        <f>VLOOKUP(A33, 'Table lookup_N2'!$A$3:$G$116, 5,FALSE)</f>
        <v>2</v>
      </c>
    </row>
    <row r="34" spans="1:15" x14ac:dyDescent="0.2">
      <c r="A34" t="s">
        <v>105</v>
      </c>
      <c r="I34">
        <v>32.476048797934801</v>
      </c>
      <c r="L34">
        <f>VLOOKUP(A34, 'Table lookup_N2'!$A$3:$G$116, 2,FALSE)</f>
        <v>68.099999999999994</v>
      </c>
      <c r="M34" t="str">
        <f>VLOOKUP(A34, 'Table lookup_N2'!$A$3:$G$116, 3,FALSE)</f>
        <v>ng/µl</v>
      </c>
      <c r="N34">
        <f>VLOOKUP(A34, 'Table lookup_N2'!$A$3:$G$116, 4,FALSE)</f>
        <v>2.12</v>
      </c>
      <c r="O34">
        <f>VLOOKUP(A34, 'Table lookup_N2'!$A$3:$G$116, 5,FALSE)</f>
        <v>0.61</v>
      </c>
    </row>
    <row r="35" spans="1:15" x14ac:dyDescent="0.2">
      <c r="A35" s="21" t="s">
        <v>106</v>
      </c>
      <c r="D35">
        <v>30.299500511980199</v>
      </c>
      <c r="G35">
        <v>30.983074714138599</v>
      </c>
      <c r="I35">
        <v>33.211887826167803</v>
      </c>
      <c r="K35">
        <v>30.167075300745601</v>
      </c>
      <c r="L35">
        <f>VLOOKUP(A35, 'Table lookup_N2'!$A$3:$G$116, 2,FALSE)</f>
        <v>173.6</v>
      </c>
      <c r="M35" t="str">
        <f>VLOOKUP(A35, 'Table lookup_N2'!$A$3:$G$116, 3,FALSE)</f>
        <v>ng/µl</v>
      </c>
      <c r="N35">
        <f>VLOOKUP(A35, 'Table lookup_N2'!$A$3:$G$116, 4,FALSE)</f>
        <v>2.13</v>
      </c>
      <c r="O35">
        <f>VLOOKUP(A35, 'Table lookup_N2'!$A$3:$G$116, 5,FALSE)</f>
        <v>1.72</v>
      </c>
    </row>
    <row r="36" spans="1:15" x14ac:dyDescent="0.2">
      <c r="A36" s="21" t="s">
        <v>107</v>
      </c>
      <c r="D36">
        <v>30.148077510821999</v>
      </c>
      <c r="G36">
        <v>30.8933919299546</v>
      </c>
      <c r="I36">
        <v>33.4987036641201</v>
      </c>
      <c r="L36">
        <f>VLOOKUP(A36, 'Table lookup_N2'!$A$3:$G$116, 2,FALSE)</f>
        <v>118.2</v>
      </c>
      <c r="M36" t="str">
        <f>VLOOKUP(A36, 'Table lookup_N2'!$A$3:$G$116, 3,FALSE)</f>
        <v>ng/µl</v>
      </c>
      <c r="N36">
        <f>VLOOKUP(A36, 'Table lookup_N2'!$A$3:$G$116, 4,FALSE)</f>
        <v>2.1</v>
      </c>
      <c r="O36">
        <f>VLOOKUP(A36, 'Table lookup_N2'!$A$3:$G$116, 5,FALSE)</f>
        <v>1.83</v>
      </c>
    </row>
    <row r="37" spans="1:15" x14ac:dyDescent="0.2">
      <c r="A37" t="s">
        <v>108</v>
      </c>
      <c r="I37">
        <v>32.437501489156801</v>
      </c>
      <c r="L37">
        <f>VLOOKUP(A37, 'Table lookup_N2'!$A$3:$G$116, 2,FALSE)</f>
        <v>234.9</v>
      </c>
      <c r="M37" t="str">
        <f>VLOOKUP(A37, 'Table lookup_N2'!$A$3:$G$116, 3,FALSE)</f>
        <v>ng/µl</v>
      </c>
      <c r="N37">
        <f>VLOOKUP(A37, 'Table lookup_N2'!$A$3:$G$116, 4,FALSE)</f>
        <v>1.66</v>
      </c>
      <c r="O37">
        <f>VLOOKUP(A37, 'Table lookup_N2'!$A$3:$G$116, 5,FALSE)</f>
        <v>2.63</v>
      </c>
    </row>
    <row r="38" spans="1:15" x14ac:dyDescent="0.2">
      <c r="A38" s="21" t="s">
        <v>109</v>
      </c>
      <c r="D38">
        <v>30.586778368829599</v>
      </c>
      <c r="G38">
        <v>31.110618929608901</v>
      </c>
      <c r="I38">
        <v>32.561207265915897</v>
      </c>
      <c r="L38">
        <f>VLOOKUP(A38, 'Table lookup_N2'!$A$3:$G$116, 2,FALSE)</f>
        <v>582.9</v>
      </c>
      <c r="M38" t="str">
        <f>VLOOKUP(A38, 'Table lookup_N2'!$A$3:$G$116, 3,FALSE)</f>
        <v>ng/µl</v>
      </c>
      <c r="N38">
        <f>VLOOKUP(A38, 'Table lookup_N2'!$A$3:$G$116, 4,FALSE)</f>
        <v>1.88</v>
      </c>
      <c r="O38">
        <f>VLOOKUP(A38, 'Table lookup_N2'!$A$3:$G$116, 5,FALSE)</f>
        <v>1.44</v>
      </c>
    </row>
    <row r="39" spans="1:15" x14ac:dyDescent="0.2">
      <c r="A39" s="21" t="s">
        <v>110</v>
      </c>
      <c r="D39">
        <v>30.758202904072999</v>
      </c>
      <c r="G39">
        <v>31.075128239652202</v>
      </c>
      <c r="I39">
        <v>33.6317690704931</v>
      </c>
      <c r="L39">
        <f>VLOOKUP(A39, 'Table lookup_N2'!$A$3:$G$116, 2,FALSE)</f>
        <v>367</v>
      </c>
      <c r="M39" t="str">
        <f>VLOOKUP(A39, 'Table lookup_N2'!$A$3:$G$116, 3,FALSE)</f>
        <v>ng/µl</v>
      </c>
      <c r="N39">
        <f>VLOOKUP(A39, 'Table lookup_N2'!$A$3:$G$116, 4,FALSE)</f>
        <v>2.15</v>
      </c>
      <c r="O39">
        <f>VLOOKUP(A39, 'Table lookup_N2'!$A$3:$G$116, 5,FALSE)</f>
        <v>1.83</v>
      </c>
    </row>
    <row r="40" spans="1:15" x14ac:dyDescent="0.2">
      <c r="A40" s="21" t="s">
        <v>111</v>
      </c>
      <c r="D40">
        <v>31.500716953147698</v>
      </c>
      <c r="G40">
        <v>32.032950313355101</v>
      </c>
      <c r="H40">
        <v>30.241095307468299</v>
      </c>
      <c r="I40">
        <v>35.035648357704602</v>
      </c>
      <c r="L40">
        <f>VLOOKUP(A40, 'Table lookup_N2'!$A$3:$G$116, 2,FALSE)</f>
        <v>493</v>
      </c>
      <c r="M40" t="str">
        <f>VLOOKUP(A40, 'Table lookup_N2'!$A$3:$G$116, 3,FALSE)</f>
        <v>ng/µl</v>
      </c>
      <c r="N40">
        <f>VLOOKUP(A40, 'Table lookup_N2'!$A$3:$G$116, 4,FALSE)</f>
        <v>2.14</v>
      </c>
      <c r="O40">
        <f>VLOOKUP(A40, 'Table lookup_N2'!$A$3:$G$116, 5,FALSE)</f>
        <v>1.48</v>
      </c>
    </row>
    <row r="41" spans="1:15" x14ac:dyDescent="0.2">
      <c r="A41" t="s">
        <v>112</v>
      </c>
      <c r="I41">
        <v>31.3185945569304</v>
      </c>
      <c r="L41">
        <f>VLOOKUP(A41, 'Table lookup_N2'!$A$3:$G$116, 2,FALSE)</f>
        <v>119</v>
      </c>
      <c r="M41" t="str">
        <f>VLOOKUP(A41, 'Table lookup_N2'!$A$3:$G$116, 3,FALSE)</f>
        <v>ng/µl</v>
      </c>
      <c r="N41">
        <f>VLOOKUP(A41, 'Table lookup_N2'!$A$3:$G$116, 4,FALSE)</f>
        <v>2.0699999999999998</v>
      </c>
      <c r="O41">
        <f>VLOOKUP(A41, 'Table lookup_N2'!$A$3:$G$116, 5,FALSE)</f>
        <v>1.49</v>
      </c>
    </row>
    <row r="42" spans="1:15" x14ac:dyDescent="0.2">
      <c r="A42" t="s">
        <v>114</v>
      </c>
      <c r="I42">
        <v>30.817198918216601</v>
      </c>
      <c r="L42">
        <f>VLOOKUP(A42, 'Table lookup_N2'!$A$3:$G$116, 2,FALSE)</f>
        <v>311.7</v>
      </c>
      <c r="M42" t="str">
        <f>VLOOKUP(A42, 'Table lookup_N2'!$A$3:$G$116, 3,FALSE)</f>
        <v>ng/µl</v>
      </c>
      <c r="N42">
        <f>VLOOKUP(A42, 'Table lookup_N2'!$A$3:$G$116, 4,FALSE)</f>
        <v>1.73</v>
      </c>
      <c r="O42">
        <f>VLOOKUP(A42, 'Table lookup_N2'!$A$3:$G$116, 5,FALSE)</f>
        <v>2.1800000000000002</v>
      </c>
    </row>
    <row r="43" spans="1:15" x14ac:dyDescent="0.2">
      <c r="A43" t="s">
        <v>115</v>
      </c>
      <c r="I43">
        <v>31.486887802445001</v>
      </c>
      <c r="L43">
        <f>VLOOKUP(A43, 'Table lookup_N2'!$A$3:$G$116, 2,FALSE)</f>
        <v>224.2</v>
      </c>
      <c r="M43" t="str">
        <f>VLOOKUP(A43, 'Table lookup_N2'!$A$3:$G$116, 3,FALSE)</f>
        <v>ng/µl</v>
      </c>
      <c r="N43">
        <f>VLOOKUP(A43, 'Table lookup_N2'!$A$3:$G$116, 4,FALSE)</f>
        <v>1.66</v>
      </c>
      <c r="O43">
        <f>VLOOKUP(A43, 'Table lookup_N2'!$A$3:$G$116, 5,FALSE)</f>
        <v>1.95</v>
      </c>
    </row>
    <row r="44" spans="1:15" x14ac:dyDescent="0.2">
      <c r="A44" s="21" t="s">
        <v>7</v>
      </c>
      <c r="D44">
        <v>33.049588541527001</v>
      </c>
      <c r="H44">
        <v>30.6894793239079</v>
      </c>
      <c r="I44">
        <v>32.956244404330597</v>
      </c>
      <c r="K44">
        <v>31.231103259125199</v>
      </c>
      <c r="L44">
        <f>VLOOKUP(A44, 'Table lookup_N2'!$A$3:$G$116, 2,FALSE)</f>
        <v>175.3</v>
      </c>
      <c r="M44" t="str">
        <f>VLOOKUP(A44, 'Table lookup_N2'!$A$3:$G$116, 3,FALSE)</f>
        <v>ng/µl</v>
      </c>
      <c r="N44">
        <f>VLOOKUP(A44, 'Table lookup_N2'!$A$3:$G$116, 4,FALSE)</f>
        <v>2.14</v>
      </c>
      <c r="O44">
        <f>VLOOKUP(A44, 'Table lookup_N2'!$A$3:$G$116, 5,FALSE)</f>
        <v>0.62</v>
      </c>
    </row>
    <row r="45" spans="1:15" x14ac:dyDescent="0.2">
      <c r="A45" t="s">
        <v>8</v>
      </c>
      <c r="I45">
        <v>33.059961015290703</v>
      </c>
      <c r="L45">
        <f>VLOOKUP(A45, 'Table lookup_N2'!$A$3:$G$116, 2,FALSE)</f>
        <v>363.5</v>
      </c>
      <c r="M45" t="str">
        <f>VLOOKUP(A45, 'Table lookup_N2'!$A$3:$G$116, 3,FALSE)</f>
        <v>ng/µl</v>
      </c>
      <c r="N45">
        <f>VLOOKUP(A45, 'Table lookup_N2'!$A$3:$G$116, 4,FALSE)</f>
        <v>2.12</v>
      </c>
      <c r="O45">
        <f>VLOOKUP(A45, 'Table lookup_N2'!$A$3:$G$116, 5,FALSE)</f>
        <v>2.11</v>
      </c>
    </row>
    <row r="46" spans="1:15" x14ac:dyDescent="0.2">
      <c r="A46" t="s">
        <v>9</v>
      </c>
      <c r="D46">
        <v>30.661956420859799</v>
      </c>
      <c r="I46">
        <v>30.1817555641349</v>
      </c>
      <c r="L46">
        <f>VLOOKUP(A46, 'Table lookup_N2'!$A$3:$G$116, 2,FALSE)</f>
        <v>151.5</v>
      </c>
      <c r="M46" t="str">
        <f>VLOOKUP(A46, 'Table lookup_N2'!$A$3:$G$116, 3,FALSE)</f>
        <v>ng/µl</v>
      </c>
      <c r="N46">
        <f>VLOOKUP(A46, 'Table lookup_N2'!$A$3:$G$116, 4,FALSE)</f>
        <v>2.16</v>
      </c>
      <c r="O46">
        <f>VLOOKUP(A46, 'Table lookup_N2'!$A$3:$G$116, 5,FALSE)</f>
        <v>1.46</v>
      </c>
    </row>
    <row r="47" spans="1:15" x14ac:dyDescent="0.2">
      <c r="A47" s="21" t="s">
        <v>10</v>
      </c>
      <c r="D47">
        <v>32.737162184330302</v>
      </c>
      <c r="G47">
        <v>32.917366861119</v>
      </c>
      <c r="H47">
        <v>31.217288971372898</v>
      </c>
      <c r="I47">
        <v>33.321249086308399</v>
      </c>
      <c r="L47">
        <f>VLOOKUP(A47, 'Table lookup_N2'!$A$3:$G$116, 2,FALSE)</f>
        <v>383.5</v>
      </c>
      <c r="M47" t="str">
        <f>VLOOKUP(A47, 'Table lookup_N2'!$A$3:$G$116, 3,FALSE)</f>
        <v>ng/µl</v>
      </c>
      <c r="N47">
        <f>VLOOKUP(A47, 'Table lookup_N2'!$A$3:$G$116, 4,FALSE)</f>
        <v>1.67</v>
      </c>
      <c r="O47">
        <f>VLOOKUP(A47, 'Table lookup_N2'!$A$3:$G$116, 5,FALSE)</f>
        <v>1.93</v>
      </c>
    </row>
    <row r="48" spans="1:15" x14ac:dyDescent="0.2">
      <c r="A48" s="21" t="s">
        <v>11</v>
      </c>
      <c r="D48">
        <v>33.431047392668503</v>
      </c>
      <c r="G48">
        <v>33.038434597286802</v>
      </c>
      <c r="H48">
        <v>30.7967069008435</v>
      </c>
      <c r="I48">
        <v>34.037382496176598</v>
      </c>
      <c r="L48">
        <f>VLOOKUP(A48, 'Table lookup_N2'!$A$3:$G$116, 2,FALSE)</f>
        <v>391.8</v>
      </c>
      <c r="M48" t="str">
        <f>VLOOKUP(A48, 'Table lookup_N2'!$A$3:$G$116, 3,FALSE)</f>
        <v>ng/µl</v>
      </c>
      <c r="N48">
        <f>VLOOKUP(A48, 'Table lookup_N2'!$A$3:$G$116, 4,FALSE)</f>
        <v>1.83</v>
      </c>
      <c r="O48">
        <f>VLOOKUP(A48, 'Table lookup_N2'!$A$3:$G$116, 5,FALSE)</f>
        <v>1.17</v>
      </c>
    </row>
    <row r="49" spans="1:15" s="10" customFormat="1" x14ac:dyDescent="0.2">
      <c r="A49" t="s">
        <v>12</v>
      </c>
      <c r="B49"/>
      <c r="C49"/>
      <c r="D49">
        <v>32.253685886542399</v>
      </c>
      <c r="E49"/>
      <c r="F49"/>
      <c r="G49"/>
      <c r="H49"/>
      <c r="I49"/>
      <c r="J49"/>
      <c r="K49">
        <v>30.100981953757199</v>
      </c>
      <c r="L49">
        <f>VLOOKUP(A49, 'Table lookup_N2'!$A$3:$G$116, 2,FALSE)</f>
        <v>151.1</v>
      </c>
      <c r="M49" t="str">
        <f>VLOOKUP(A49, 'Table lookup_N2'!$A$3:$G$116, 3,FALSE)</f>
        <v>ng/µl</v>
      </c>
      <c r="N49">
        <f>VLOOKUP(A49, 'Table lookup_N2'!$A$3:$G$116, 4,FALSE)</f>
        <v>2.15</v>
      </c>
      <c r="O49">
        <f>VLOOKUP(A49, 'Table lookup_N2'!$A$3:$G$116, 5,FALSE)</f>
        <v>0.87</v>
      </c>
    </row>
    <row r="50" spans="1:15" s="10" customFormat="1" x14ac:dyDescent="0.2">
      <c r="A50" t="s">
        <v>13</v>
      </c>
      <c r="B50"/>
      <c r="C50"/>
      <c r="D50">
        <v>32.126495653470499</v>
      </c>
      <c r="E50"/>
      <c r="F50"/>
      <c r="G50"/>
      <c r="H50"/>
      <c r="I50"/>
      <c r="J50"/>
      <c r="K50"/>
      <c r="L50">
        <f>VLOOKUP(A50, 'Table lookup_N2'!$A$3:$G$116, 2,FALSE)</f>
        <v>81.099999999999994</v>
      </c>
      <c r="M50" t="str">
        <f>VLOOKUP(A50, 'Table lookup_N2'!$A$3:$G$116, 3,FALSE)</f>
        <v>ng/µl</v>
      </c>
      <c r="N50">
        <f>VLOOKUP(A50, 'Table lookup_N2'!$A$3:$G$116, 4,FALSE)</f>
        <v>1.99</v>
      </c>
      <c r="O50">
        <f>VLOOKUP(A50, 'Table lookup_N2'!$A$3:$G$116, 5,FALSE)</f>
        <v>0.76</v>
      </c>
    </row>
    <row r="51" spans="1:15" s="10" customFormat="1" x14ac:dyDescent="0.2">
      <c r="A51" t="s">
        <v>14</v>
      </c>
      <c r="B51"/>
      <c r="C51"/>
      <c r="D51">
        <v>31.6021299635837</v>
      </c>
      <c r="E51"/>
      <c r="F51"/>
      <c r="G51"/>
      <c r="H51"/>
      <c r="I51"/>
      <c r="J51"/>
      <c r="K51">
        <v>30.007344975682301</v>
      </c>
      <c r="L51">
        <f>VLOOKUP(A51, 'Table lookup_N2'!$A$3:$G$116, 2,FALSE)</f>
        <v>197.2</v>
      </c>
      <c r="M51" t="str">
        <f>VLOOKUP(A51, 'Table lookup_N2'!$A$3:$G$116, 3,FALSE)</f>
        <v>ng/µl</v>
      </c>
      <c r="N51">
        <f>VLOOKUP(A51, 'Table lookup_N2'!$A$3:$G$116, 4,FALSE)</f>
        <v>2.06</v>
      </c>
      <c r="O51">
        <f>VLOOKUP(A51, 'Table lookup_N2'!$A$3:$G$116, 5,FALSE)</f>
        <v>0.97</v>
      </c>
    </row>
    <row r="52" spans="1:15" s="10" customFormat="1" x14ac:dyDescent="0.2">
      <c r="A52" t="s">
        <v>15</v>
      </c>
      <c r="B52"/>
      <c r="C52"/>
      <c r="D52">
        <v>31.1736197182876</v>
      </c>
      <c r="E52"/>
      <c r="F52"/>
      <c r="G52"/>
      <c r="H52"/>
      <c r="I52"/>
      <c r="J52"/>
      <c r="K52"/>
      <c r="L52">
        <f>VLOOKUP(A52, 'Table lookup_N2'!$A$3:$G$116, 2,FALSE)</f>
        <v>362.7</v>
      </c>
      <c r="M52" t="str">
        <f>VLOOKUP(A52, 'Table lookup_N2'!$A$3:$G$116, 3,FALSE)</f>
        <v>ng/µl</v>
      </c>
      <c r="N52">
        <f>VLOOKUP(A52, 'Table lookup_N2'!$A$3:$G$116, 4,FALSE)</f>
        <v>2.15</v>
      </c>
      <c r="O52">
        <f>VLOOKUP(A52, 'Table lookup_N2'!$A$3:$G$116, 5,FALSE)</f>
        <v>0.84</v>
      </c>
    </row>
    <row r="53" spans="1:15" s="10" customFormat="1" x14ac:dyDescent="0.2">
      <c r="A53" t="s">
        <v>25</v>
      </c>
      <c r="B53"/>
      <c r="C53"/>
      <c r="D53"/>
      <c r="E53"/>
      <c r="F53"/>
      <c r="G53"/>
      <c r="H53"/>
      <c r="I53"/>
      <c r="J53">
        <v>30.211382823124499</v>
      </c>
      <c r="K53"/>
      <c r="L53">
        <f>VLOOKUP(A53, 'Table lookup_N2'!$A$3:$G$116, 2,FALSE)</f>
        <v>431.1</v>
      </c>
      <c r="M53" t="str">
        <f>VLOOKUP(A53, 'Table lookup_N2'!$A$3:$G$116, 3,FALSE)</f>
        <v>ng/µl</v>
      </c>
      <c r="N53">
        <f>VLOOKUP(A53, 'Table lookup_N2'!$A$3:$G$116, 4,FALSE)</f>
        <v>2.11</v>
      </c>
      <c r="O53">
        <f>VLOOKUP(A53, 'Table lookup_N2'!$A$3:$G$116, 5,FALSE)</f>
        <v>1.72</v>
      </c>
    </row>
    <row r="54" spans="1:15" s="10" customFormat="1" x14ac:dyDescent="0.2">
      <c r="A54" s="21" t="s">
        <v>26</v>
      </c>
      <c r="B54"/>
      <c r="C54">
        <v>30.235825573591601</v>
      </c>
      <c r="D54">
        <v>30.553350255368699</v>
      </c>
      <c r="E54"/>
      <c r="F54"/>
      <c r="G54"/>
      <c r="H54"/>
      <c r="I54"/>
      <c r="J54">
        <v>30.628262018446399</v>
      </c>
      <c r="K54">
        <v>31.643320381733599</v>
      </c>
      <c r="L54">
        <f>VLOOKUP(A54, 'Table lookup_N2'!$A$3:$G$116, 2,FALSE)</f>
        <v>107</v>
      </c>
      <c r="M54" t="str">
        <f>VLOOKUP(A54, 'Table lookup_N2'!$A$3:$G$116, 3,FALSE)</f>
        <v>ng/µl</v>
      </c>
      <c r="N54">
        <f>VLOOKUP(A54, 'Table lookup_N2'!$A$3:$G$116, 4,FALSE)</f>
        <v>2.15</v>
      </c>
      <c r="O54">
        <f>VLOOKUP(A54, 'Table lookup_N2'!$A$3:$G$116, 5,FALSE)</f>
        <v>0.41</v>
      </c>
    </row>
    <row r="55" spans="1:15" x14ac:dyDescent="0.2">
      <c r="A55" t="s">
        <v>32</v>
      </c>
      <c r="J55">
        <v>30.089252317421199</v>
      </c>
      <c r="L55">
        <f>VLOOKUP(A55, 'Table lookup_N2'!$A$3:$G$116, 2,FALSE)</f>
        <v>338</v>
      </c>
      <c r="M55" t="str">
        <f>VLOOKUP(A55, 'Table lookup_N2'!$A$3:$G$116, 3,FALSE)</f>
        <v>ng/µl</v>
      </c>
      <c r="N55">
        <f>VLOOKUP(A55, 'Table lookup_N2'!$A$3:$G$116, 4,FALSE)</f>
        <v>2.13</v>
      </c>
      <c r="O55">
        <f>VLOOKUP(A55, 'Table lookup_N2'!$A$3:$G$116, 5,FALSE)</f>
        <v>1.37</v>
      </c>
    </row>
    <row r="56" spans="1:15" x14ac:dyDescent="0.2">
      <c r="A56" t="s">
        <v>33</v>
      </c>
      <c r="I56">
        <v>30.180273729329699</v>
      </c>
      <c r="J56">
        <v>31.065083941986799</v>
      </c>
      <c r="L56">
        <f>VLOOKUP(A56, 'Table lookup_N2'!$A$3:$G$116, 2,FALSE)</f>
        <v>531.79999999999995</v>
      </c>
      <c r="M56" t="str">
        <f>VLOOKUP(A56, 'Table lookup_N2'!$A$3:$G$116, 3,FALSE)</f>
        <v>ng/µl</v>
      </c>
      <c r="N56">
        <f>VLOOKUP(A56, 'Table lookup_N2'!$A$3:$G$116, 4,FALSE)</f>
        <v>2.12</v>
      </c>
      <c r="O56">
        <f>VLOOKUP(A56, 'Table lookup_N2'!$A$3:$G$116, 5,FALSE)</f>
        <v>1.28</v>
      </c>
    </row>
    <row r="57" spans="1:15" x14ac:dyDescent="0.2">
      <c r="A57" t="s">
        <v>34</v>
      </c>
      <c r="I57">
        <v>31.676948379393998</v>
      </c>
      <c r="L57">
        <f>VLOOKUP(A57, 'Table lookup_N2'!$A$3:$G$116, 2,FALSE)</f>
        <v>145.80000000000001</v>
      </c>
      <c r="M57" t="str">
        <f>VLOOKUP(A57, 'Table lookup_N2'!$A$3:$G$116, 3,FALSE)</f>
        <v>ng/µl</v>
      </c>
      <c r="N57">
        <f>VLOOKUP(A57, 'Table lookup_N2'!$A$3:$G$116, 4,FALSE)</f>
        <v>2.09</v>
      </c>
      <c r="O57">
        <f>VLOOKUP(A57, 'Table lookup_N2'!$A$3:$G$116, 5,FALSE)</f>
        <v>0.53</v>
      </c>
    </row>
    <row r="58" spans="1:15" x14ac:dyDescent="0.2">
      <c r="A58" t="s">
        <v>35</v>
      </c>
      <c r="I58">
        <v>32.552121924857303</v>
      </c>
      <c r="L58">
        <f>VLOOKUP(A58, 'Table lookup_N2'!$A$3:$G$116, 2,FALSE)</f>
        <v>174.8</v>
      </c>
      <c r="M58" t="str">
        <f>VLOOKUP(A58, 'Table lookup_N2'!$A$3:$G$116, 3,FALSE)</f>
        <v>ng/µl</v>
      </c>
      <c r="N58">
        <f>VLOOKUP(A58, 'Table lookup_N2'!$A$3:$G$116, 4,FALSE)</f>
        <v>2.0299999999999998</v>
      </c>
      <c r="O58">
        <f>VLOOKUP(A58, 'Table lookup_N2'!$A$3:$G$116, 5,FALSE)</f>
        <v>0.75</v>
      </c>
    </row>
    <row r="59" spans="1:15" x14ac:dyDescent="0.2">
      <c r="A59" t="s">
        <v>36</v>
      </c>
      <c r="I59">
        <v>31.3687273879112</v>
      </c>
      <c r="L59">
        <f>VLOOKUP(A59, 'Table lookup_N2'!$A$3:$G$116, 2,FALSE)</f>
        <v>202</v>
      </c>
      <c r="M59" t="str">
        <f>VLOOKUP(A59, 'Table lookup_N2'!$A$3:$G$116, 3,FALSE)</f>
        <v>ng/µl</v>
      </c>
      <c r="N59">
        <f>VLOOKUP(A59, 'Table lookup_N2'!$A$3:$G$116, 4,FALSE)</f>
        <v>1.62</v>
      </c>
      <c r="O59">
        <f>VLOOKUP(A59, 'Table lookup_N2'!$A$3:$G$116, 5,FALSE)</f>
        <v>0.63</v>
      </c>
    </row>
    <row r="60" spans="1:15" x14ac:dyDescent="0.2">
      <c r="A60" s="21" t="s">
        <v>37</v>
      </c>
      <c r="D60">
        <v>30.543602300543199</v>
      </c>
      <c r="G60">
        <v>32.150497831525001</v>
      </c>
      <c r="I60">
        <v>34.117022896829603</v>
      </c>
      <c r="J60">
        <v>30.095877897677301</v>
      </c>
      <c r="L60">
        <f>VLOOKUP(A60, 'Table lookup_N2'!$A$3:$G$116, 2,FALSE)</f>
        <v>137.80000000000001</v>
      </c>
      <c r="M60" t="str">
        <f>VLOOKUP(A60, 'Table lookup_N2'!$A$3:$G$116, 3,FALSE)</f>
        <v>ng/µl</v>
      </c>
      <c r="N60">
        <f>VLOOKUP(A60, 'Table lookup_N2'!$A$3:$G$116, 4,FALSE)</f>
        <v>2.12</v>
      </c>
      <c r="O60">
        <f>VLOOKUP(A60, 'Table lookup_N2'!$A$3:$G$116, 5,FALSE)</f>
        <v>0.6</v>
      </c>
    </row>
    <row r="61" spans="1:15" x14ac:dyDescent="0.2">
      <c r="A61" s="21" t="s">
        <v>38</v>
      </c>
      <c r="D61">
        <v>30.1687433771496</v>
      </c>
      <c r="G61">
        <v>31.447346382940601</v>
      </c>
      <c r="I61">
        <v>34.609840924570797</v>
      </c>
      <c r="L61">
        <f>VLOOKUP(A61, 'Table lookup_N2'!$A$3:$G$116, 2,FALSE)</f>
        <v>117.7</v>
      </c>
      <c r="M61" t="str">
        <f>VLOOKUP(A61, 'Table lookup_N2'!$A$3:$G$116, 3,FALSE)</f>
        <v>ng/µl</v>
      </c>
      <c r="N61">
        <f>VLOOKUP(A61, 'Table lookup_N2'!$A$3:$G$116, 4,FALSE)</f>
        <v>2.15</v>
      </c>
      <c r="O61">
        <f>VLOOKUP(A61, 'Table lookup_N2'!$A$3:$G$116, 5,FALSE)</f>
        <v>0.87</v>
      </c>
    </row>
    <row r="62" spans="1:15" x14ac:dyDescent="0.2">
      <c r="A62" t="s">
        <v>39</v>
      </c>
      <c r="G62">
        <v>31.401400933428</v>
      </c>
      <c r="I62">
        <v>35.259944191257397</v>
      </c>
      <c r="L62">
        <f>VLOOKUP(A62, 'Table lookup_N2'!$A$3:$G$116, 2,FALSE)</f>
        <v>137.30000000000001</v>
      </c>
      <c r="M62" t="str">
        <f>VLOOKUP(A62, 'Table lookup_N2'!$A$3:$G$116, 3,FALSE)</f>
        <v>ng/µl</v>
      </c>
      <c r="N62">
        <f>VLOOKUP(A62, 'Table lookup_N2'!$A$3:$G$116, 4,FALSE)</f>
        <v>2.17</v>
      </c>
      <c r="O62">
        <f>VLOOKUP(A62, 'Table lookup_N2'!$A$3:$G$116, 5,FALSE)</f>
        <v>2.0699999999999998</v>
      </c>
    </row>
    <row r="63" spans="1:15" x14ac:dyDescent="0.2">
      <c r="A63" s="21" t="s">
        <v>40</v>
      </c>
      <c r="D63">
        <v>30.218649056382102</v>
      </c>
      <c r="G63">
        <v>30.233777764771499</v>
      </c>
      <c r="I63">
        <v>32.0431374033803</v>
      </c>
      <c r="L63">
        <f>VLOOKUP(A63, 'Table lookup_N2'!$A$3:$G$116, 2,FALSE)</f>
        <v>437</v>
      </c>
      <c r="M63" t="str">
        <f>VLOOKUP(A63, 'Table lookup_N2'!$A$3:$G$116, 3,FALSE)</f>
        <v>ng/µl</v>
      </c>
      <c r="N63">
        <f>VLOOKUP(A63, 'Table lookup_N2'!$A$3:$G$116, 4,FALSE)</f>
        <v>2.13</v>
      </c>
      <c r="O63">
        <f>VLOOKUP(A63, 'Table lookup_N2'!$A$3:$G$116, 5,FALSE)</f>
        <v>1.43</v>
      </c>
    </row>
    <row r="64" spans="1:15" x14ac:dyDescent="0.2">
      <c r="A64" s="21" t="s">
        <v>41</v>
      </c>
      <c r="D64">
        <v>31.0356190648567</v>
      </c>
      <c r="G64">
        <v>31.331827002344799</v>
      </c>
      <c r="I64">
        <v>32.357039632299198</v>
      </c>
      <c r="L64">
        <f>VLOOKUP(A64, 'Table lookup_N2'!$A$3:$G$116, 2,FALSE)</f>
        <v>194</v>
      </c>
      <c r="M64" t="str">
        <f>VLOOKUP(A64, 'Table lookup_N2'!$A$3:$G$116, 3,FALSE)</f>
        <v>ng/µl</v>
      </c>
      <c r="N64">
        <f>VLOOKUP(A64, 'Table lookup_N2'!$A$3:$G$116, 4,FALSE)</f>
        <v>1.49</v>
      </c>
      <c r="O64">
        <f>VLOOKUP(A64, 'Table lookup_N2'!$A$3:$G$116, 5,FALSE)</f>
        <v>1.1100000000000001</v>
      </c>
    </row>
    <row r="65" spans="1:15" x14ac:dyDescent="0.2">
      <c r="A65" t="s">
        <v>42</v>
      </c>
      <c r="G65">
        <v>30.385160679806599</v>
      </c>
      <c r="I65">
        <v>31.091885080229101</v>
      </c>
      <c r="L65">
        <f>VLOOKUP(A65, 'Table lookup_N2'!$A$3:$G$116, 2,FALSE)</f>
        <v>132.5</v>
      </c>
      <c r="M65" t="str">
        <f>VLOOKUP(A65, 'Table lookup_N2'!$A$3:$G$116, 3,FALSE)</f>
        <v>ng/µl</v>
      </c>
      <c r="N65">
        <f>VLOOKUP(A65, 'Table lookup_N2'!$A$3:$G$116, 4,FALSE)</f>
        <v>1.57</v>
      </c>
      <c r="O65">
        <f>VLOOKUP(A65, 'Table lookup_N2'!$A$3:$G$116, 5,FALSE)</f>
        <v>0.98</v>
      </c>
    </row>
    <row r="66" spans="1:15" x14ac:dyDescent="0.2">
      <c r="A66" s="21" t="s">
        <v>43</v>
      </c>
      <c r="D66">
        <v>31.530509151453099</v>
      </c>
      <c r="G66">
        <v>30.748821371373602</v>
      </c>
      <c r="H66">
        <v>30.292501168350299</v>
      </c>
      <c r="I66">
        <v>31.3687625630056</v>
      </c>
      <c r="L66">
        <f>VLOOKUP(A66, 'Table lookup_N2'!$A$3:$G$116, 2,FALSE)</f>
        <v>243.8</v>
      </c>
      <c r="M66" t="str">
        <f>VLOOKUP(A66, 'Table lookup_N2'!$A$3:$G$116, 3,FALSE)</f>
        <v>ng/µl</v>
      </c>
      <c r="N66">
        <f>VLOOKUP(A66, 'Table lookup_N2'!$A$3:$G$116, 4,FALSE)</f>
        <v>2.08</v>
      </c>
      <c r="O66">
        <f>VLOOKUP(A66, 'Table lookup_N2'!$A$3:$G$116, 5,FALSE)</f>
        <v>1.65</v>
      </c>
    </row>
    <row r="67" spans="1:15" x14ac:dyDescent="0.2">
      <c r="A67" s="21" t="s">
        <v>44</v>
      </c>
      <c r="D67">
        <v>30.8308266209206</v>
      </c>
      <c r="G67">
        <v>31.1204047250618</v>
      </c>
      <c r="H67">
        <v>30.0574478961781</v>
      </c>
      <c r="I67">
        <v>30.860363058934599</v>
      </c>
      <c r="L67">
        <f>VLOOKUP(A67, 'Table lookup_N2'!$A$3:$G$116, 2,FALSE)</f>
        <v>290.39999999999998</v>
      </c>
      <c r="M67" t="str">
        <f>VLOOKUP(A67, 'Table lookup_N2'!$A$3:$G$116, 3,FALSE)</f>
        <v>ng/µl</v>
      </c>
      <c r="N67">
        <f>VLOOKUP(A67, 'Table lookup_N2'!$A$3:$G$116, 4,FALSE)</f>
        <v>1.38</v>
      </c>
      <c r="O67">
        <f>VLOOKUP(A67, 'Table lookup_N2'!$A$3:$G$116, 5,FALSE)</f>
        <v>1.3</v>
      </c>
    </row>
    <row r="68" spans="1:15" x14ac:dyDescent="0.2">
      <c r="A68" s="21" t="s">
        <v>45</v>
      </c>
      <c r="D68">
        <v>30.922475438491599</v>
      </c>
      <c r="G68">
        <v>30.853730736188002</v>
      </c>
      <c r="I68">
        <v>33.505212238808603</v>
      </c>
      <c r="L68">
        <f>VLOOKUP(A68, 'Table lookup_N2'!$A$3:$G$116, 2,FALSE)</f>
        <v>267</v>
      </c>
      <c r="M68" t="str">
        <f>VLOOKUP(A68, 'Table lookup_N2'!$A$3:$G$116, 3,FALSE)</f>
        <v>ng/µl</v>
      </c>
      <c r="N68">
        <f>VLOOKUP(A68, 'Table lookup_N2'!$A$3:$G$116, 4,FALSE)</f>
        <v>1.74</v>
      </c>
      <c r="O68">
        <f>VLOOKUP(A68, 'Table lookup_N2'!$A$3:$G$116, 5,FALSE)</f>
        <v>0.47</v>
      </c>
    </row>
    <row r="69" spans="1:15" x14ac:dyDescent="0.2">
      <c r="A69" t="s">
        <v>46</v>
      </c>
      <c r="D69">
        <v>30.281362687160598</v>
      </c>
      <c r="L69">
        <f>VLOOKUP(A69, 'Table lookup_N2'!$A$3:$G$116, 2,FALSE)</f>
        <v>119.1</v>
      </c>
      <c r="M69" t="str">
        <f>VLOOKUP(A69, 'Table lookup_N2'!$A$3:$G$116, 3,FALSE)</f>
        <v>ng/µl</v>
      </c>
      <c r="N69">
        <f>VLOOKUP(A69, 'Table lookup_N2'!$A$3:$G$116, 4,FALSE)</f>
        <v>2.0699999999999998</v>
      </c>
      <c r="O69">
        <f>VLOOKUP(A69, 'Table lookup_N2'!$A$3:$G$116, 5,FALSE)</f>
        <v>0.78</v>
      </c>
    </row>
    <row r="70" spans="1:15" x14ac:dyDescent="0.2">
      <c r="A70" t="s">
        <v>47</v>
      </c>
      <c r="D70">
        <v>30.749585637168099</v>
      </c>
      <c r="L70">
        <f>VLOOKUP(A70, 'Table lookup_N2'!$A$3:$G$116, 2,FALSE)</f>
        <v>301.60000000000002</v>
      </c>
      <c r="M70" t="str">
        <f>VLOOKUP(A70, 'Table lookup_N2'!$A$3:$G$116, 3,FALSE)</f>
        <v>ng/µl</v>
      </c>
      <c r="N70">
        <f>VLOOKUP(A70, 'Table lookup_N2'!$A$3:$G$116, 4,FALSE)</f>
        <v>2.09</v>
      </c>
      <c r="O70">
        <f>VLOOKUP(A70, 'Table lookup_N2'!$A$3:$G$116, 5,FALSE)</f>
        <v>1.03</v>
      </c>
    </row>
    <row r="71" spans="1:15" x14ac:dyDescent="0.2">
      <c r="A71" t="s">
        <v>49</v>
      </c>
      <c r="D71">
        <v>30.015764098681501</v>
      </c>
      <c r="L71">
        <f>VLOOKUP(A71, 'Table lookup_N2'!$A$3:$G$116, 2,FALSE)</f>
        <v>210.4</v>
      </c>
      <c r="M71" t="str">
        <f>VLOOKUP(A71, 'Table lookup_N2'!$A$3:$G$116, 3,FALSE)</f>
        <v>ng/µl</v>
      </c>
      <c r="N71">
        <f>VLOOKUP(A71, 'Table lookup_N2'!$A$3:$G$116, 4,FALSE)</f>
        <v>2.11</v>
      </c>
      <c r="O71">
        <f>VLOOKUP(A71, 'Table lookup_N2'!$A$3:$G$116, 5,FALSE)</f>
        <v>0.98</v>
      </c>
    </row>
    <row r="72" spans="1:15" x14ac:dyDescent="0.2">
      <c r="A72" t="s">
        <v>50</v>
      </c>
      <c r="D72">
        <v>32.051230558842597</v>
      </c>
      <c r="L72">
        <f>VLOOKUP(A72, 'Table lookup_N2'!$A$3:$G$116, 2,FALSE)</f>
        <v>441.6</v>
      </c>
      <c r="M72" t="str">
        <f>VLOOKUP(A72, 'Table lookup_N2'!$A$3:$G$116, 3,FALSE)</f>
        <v>ng/µl</v>
      </c>
      <c r="N72">
        <f>VLOOKUP(A72, 'Table lookup_N2'!$A$3:$G$116, 4,FALSE)</f>
        <v>2.12</v>
      </c>
      <c r="O72">
        <f>VLOOKUP(A72, 'Table lookup_N2'!$A$3:$G$116, 5,FALSE)</f>
        <v>1.59</v>
      </c>
    </row>
    <row r="73" spans="1:15" x14ac:dyDescent="0.2">
      <c r="A73" t="s">
        <v>51</v>
      </c>
      <c r="D73">
        <v>31.200815737924401</v>
      </c>
      <c r="L73">
        <f>VLOOKUP(A73, 'Table lookup_N2'!$A$3:$G$116, 2,FALSE)</f>
        <v>929.4</v>
      </c>
      <c r="M73" t="str">
        <f>VLOOKUP(A73, 'Table lookup_N2'!$A$3:$G$116, 3,FALSE)</f>
        <v>ng/µl</v>
      </c>
      <c r="N73">
        <f>VLOOKUP(A73, 'Table lookup_N2'!$A$3:$G$116, 4,FALSE)</f>
        <v>2.08</v>
      </c>
      <c r="O73">
        <f>VLOOKUP(A73, 'Table lookup_N2'!$A$3:$G$116, 5,FALSE)</f>
        <v>0.92</v>
      </c>
    </row>
    <row r="74" spans="1:15" x14ac:dyDescent="0.2">
      <c r="A74" s="21" t="s">
        <v>52</v>
      </c>
      <c r="D74">
        <v>32.380591167449801</v>
      </c>
      <c r="G74">
        <v>30.2304068012069</v>
      </c>
      <c r="I74">
        <v>30.223120608202802</v>
      </c>
      <c r="L74">
        <f>VLOOKUP(A74, 'Table lookup_N2'!$A$3:$G$116, 2,FALSE)</f>
        <v>510.5</v>
      </c>
      <c r="M74" t="str">
        <f>VLOOKUP(A74, 'Table lookup_N2'!$A$3:$G$116, 3,FALSE)</f>
        <v>ng/µl</v>
      </c>
      <c r="N74">
        <f>VLOOKUP(A74, 'Table lookup_N2'!$A$3:$G$116, 4,FALSE)</f>
        <v>2.16</v>
      </c>
      <c r="O74">
        <f>VLOOKUP(A74, 'Table lookup_N2'!$A$3:$G$116, 5,FALSE)</f>
        <v>0.74</v>
      </c>
    </row>
    <row r="75" spans="1:15" x14ac:dyDescent="0.2">
      <c r="A75" s="21" t="s">
        <v>53</v>
      </c>
      <c r="D75">
        <v>32.311232595610399</v>
      </c>
      <c r="G75">
        <v>30.7246152892181</v>
      </c>
      <c r="I75">
        <v>31.079635421520798</v>
      </c>
      <c r="L75">
        <f>VLOOKUP(A75, 'Table lookup_N2'!$A$3:$G$116, 2,FALSE)</f>
        <v>437.7</v>
      </c>
      <c r="M75" t="str">
        <f>VLOOKUP(A75, 'Table lookup_N2'!$A$3:$G$116, 3,FALSE)</f>
        <v>ng/µl</v>
      </c>
      <c r="N75">
        <f>VLOOKUP(A75, 'Table lookup_N2'!$A$3:$G$116, 4,FALSE)</f>
        <v>2.15</v>
      </c>
      <c r="O75">
        <f>VLOOKUP(A75, 'Table lookup_N2'!$A$3:$G$116, 5,FALSE)</f>
        <v>1.71</v>
      </c>
    </row>
    <row r="76" spans="1:15" x14ac:dyDescent="0.2">
      <c r="A76" t="s">
        <v>54</v>
      </c>
      <c r="D76">
        <v>32.537728044825101</v>
      </c>
      <c r="L76">
        <f>VLOOKUP(A76, 'Table lookup_N2'!$A$3:$G$116, 2,FALSE)</f>
        <v>545.4</v>
      </c>
      <c r="M76" t="str">
        <f>VLOOKUP(A76, 'Table lookup_N2'!$A$3:$G$116, 3,FALSE)</f>
        <v>ng/µl</v>
      </c>
      <c r="N76">
        <f>VLOOKUP(A76, 'Table lookup_N2'!$A$3:$G$116, 4,FALSE)</f>
        <v>2.04</v>
      </c>
      <c r="O76">
        <f>VLOOKUP(A76, 'Table lookup_N2'!$A$3:$G$116, 5,FALSE)</f>
        <v>1.33</v>
      </c>
    </row>
    <row r="77" spans="1:15" x14ac:dyDescent="0.2">
      <c r="A77" t="s">
        <v>55</v>
      </c>
      <c r="D77">
        <v>32.230283024466701</v>
      </c>
      <c r="L77">
        <f>VLOOKUP(A77, 'Table lookup_N2'!$A$3:$G$116, 2,FALSE)</f>
        <v>370.7</v>
      </c>
      <c r="M77" t="str">
        <f>VLOOKUP(A77, 'Table lookup_N2'!$A$3:$G$116, 3,FALSE)</f>
        <v>ng/µl</v>
      </c>
      <c r="N77">
        <f>VLOOKUP(A77, 'Table lookup_N2'!$A$3:$G$116, 4,FALSE)</f>
        <v>2.08</v>
      </c>
      <c r="O77">
        <f>VLOOKUP(A77, 'Table lookup_N2'!$A$3:$G$116, 5,FALSE)</f>
        <v>1.47</v>
      </c>
    </row>
    <row r="78" spans="1:15" x14ac:dyDescent="0.2">
      <c r="A78" t="s">
        <v>56</v>
      </c>
      <c r="D78">
        <v>32.483114088559901</v>
      </c>
      <c r="L78">
        <f>VLOOKUP(A78, 'Table lookup_N2'!$A$3:$G$116, 2,FALSE)</f>
        <v>412.4</v>
      </c>
      <c r="M78" t="str">
        <f>VLOOKUP(A78, 'Table lookup_N2'!$A$3:$G$116, 3,FALSE)</f>
        <v>ng/µl</v>
      </c>
      <c r="N78">
        <f>VLOOKUP(A78, 'Table lookup_N2'!$A$3:$G$116, 4,FALSE)</f>
        <v>1.87</v>
      </c>
      <c r="O78">
        <f>VLOOKUP(A78, 'Table lookup_N2'!$A$3:$G$116, 5,FALSE)</f>
        <v>1.86</v>
      </c>
    </row>
    <row r="79" spans="1:15" x14ac:dyDescent="0.2">
      <c r="A79" t="s">
        <v>57</v>
      </c>
      <c r="D79">
        <v>31.775526439302201</v>
      </c>
      <c r="I79">
        <v>30.801578676157899</v>
      </c>
      <c r="L79">
        <f>VLOOKUP(A79, 'Table lookup_N2'!$A$3:$G$116, 2,FALSE)</f>
        <v>376.1</v>
      </c>
      <c r="M79" t="str">
        <f>VLOOKUP(A79, 'Table lookup_N2'!$A$3:$G$116, 3,FALSE)</f>
        <v>ng/µl</v>
      </c>
      <c r="N79">
        <f>VLOOKUP(A79, 'Table lookup_N2'!$A$3:$G$116, 4,FALSE)</f>
        <v>1.78</v>
      </c>
      <c r="O79">
        <f>VLOOKUP(A79, 'Table lookup_N2'!$A$3:$G$116, 5,FALSE)</f>
        <v>0.85</v>
      </c>
    </row>
    <row r="80" spans="1:15" x14ac:dyDescent="0.2">
      <c r="A80" t="s">
        <v>64</v>
      </c>
      <c r="D80">
        <v>30.457151996071499</v>
      </c>
      <c r="L80">
        <f>VLOOKUP(A80, 'Table lookup_N2'!$A$3:$G$116, 2,FALSE)</f>
        <v>314.5</v>
      </c>
      <c r="M80" t="str">
        <f>VLOOKUP(A80, 'Table lookup_N2'!$A$3:$G$116, 3,FALSE)</f>
        <v>ng/µl</v>
      </c>
      <c r="N80">
        <f>VLOOKUP(A80, 'Table lookup_N2'!$A$3:$G$116, 4,FALSE)</f>
        <v>1.51</v>
      </c>
      <c r="O80">
        <f>VLOOKUP(A80, 'Table lookup_N2'!$A$3:$G$116, 5,FALSE)</f>
        <v>1.43</v>
      </c>
    </row>
    <row r="81" spans="1:15" x14ac:dyDescent="0.2">
      <c r="A81" t="s">
        <v>65</v>
      </c>
      <c r="D81">
        <v>32.358434244241103</v>
      </c>
      <c r="L81">
        <f>VLOOKUP(A81, 'Table lookup_N2'!$A$3:$G$116, 2,FALSE)</f>
        <v>132</v>
      </c>
      <c r="M81" t="str">
        <f>VLOOKUP(A81, 'Table lookup_N2'!$A$3:$G$116, 3,FALSE)</f>
        <v>ng/µl</v>
      </c>
      <c r="N81">
        <f>VLOOKUP(A81, 'Table lookup_N2'!$A$3:$G$116, 4,FALSE)</f>
        <v>2.16</v>
      </c>
      <c r="O81">
        <f>VLOOKUP(A81, 'Table lookup_N2'!$A$3:$G$116, 5,FALSE)</f>
        <v>0.75</v>
      </c>
    </row>
    <row r="82" spans="1:15" x14ac:dyDescent="0.2">
      <c r="A82" t="s">
        <v>69</v>
      </c>
      <c r="D82">
        <v>31.666405005778</v>
      </c>
      <c r="L82">
        <f>VLOOKUP(A82, 'Table lookup_N2'!$A$3:$G$116, 2,FALSE)</f>
        <v>492.4</v>
      </c>
      <c r="M82" t="str">
        <f>VLOOKUP(A82, 'Table lookup_N2'!$A$3:$G$116, 3,FALSE)</f>
        <v>ng/µl</v>
      </c>
      <c r="N82">
        <f>VLOOKUP(A82, 'Table lookup_N2'!$A$3:$G$116, 4,FALSE)</f>
        <v>1.85</v>
      </c>
      <c r="O82">
        <f>VLOOKUP(A82, 'Table lookup_N2'!$A$3:$G$116, 5,FALSE)</f>
        <v>1.17</v>
      </c>
    </row>
  </sheetData>
  <sortState xmlns:xlrd2="http://schemas.microsoft.com/office/spreadsheetml/2017/richdata2" ref="A2:O82">
    <sortCondition sortBy="cellColor" ref="A2:A82" dxfId="31"/>
  </sortState>
  <conditionalFormatting sqref="N1:O1">
    <cfRule type="cellIs" dxfId="30" priority="5" operator="between">
      <formula>1.49</formula>
      <formula>1.69</formula>
    </cfRule>
    <cfRule type="cellIs" dxfId="29" priority="6" operator="between">
      <formula>0.01</formula>
      <formula>1.49</formula>
    </cfRule>
  </conditionalFormatting>
  <conditionalFormatting sqref="N1">
    <cfRule type="cellIs" dxfId="28" priority="13" operator="lessThan">
      <formula>1.54</formula>
    </cfRule>
    <cfRule type="cellIs" dxfId="27" priority="14" operator="between">
      <formula>1.55</formula>
      <formula>1.7</formula>
    </cfRule>
  </conditionalFormatting>
  <conditionalFormatting sqref="O1">
    <cfRule type="cellIs" dxfId="26" priority="11" operator="lessThan">
      <formula>1.54</formula>
    </cfRule>
    <cfRule type="cellIs" dxfId="25" priority="12" operator="between">
      <formula>1.55</formula>
      <formula>1.7</formula>
    </cfRule>
  </conditionalFormatting>
  <conditionalFormatting sqref="L1">
    <cfRule type="cellIs" dxfId="24" priority="9" operator="between">
      <formula>0.01</formula>
      <formula>24</formula>
    </cfRule>
    <cfRule type="cellIs" dxfId="23" priority="10" operator="between">
      <formula>30</formula>
      <formula>119</formula>
    </cfRule>
  </conditionalFormatting>
  <conditionalFormatting sqref="O1">
    <cfRule type="cellIs" dxfId="22" priority="7" operator="between">
      <formula>1.59</formula>
      <formula>1.8</formula>
    </cfRule>
    <cfRule type="cellIs" dxfId="21" priority="8" operator="between">
      <formula>0.01</formula>
      <formula>1.59</formula>
    </cfRule>
  </conditionalFormatting>
  <conditionalFormatting sqref="L1:L1048576">
    <cfRule type="cellIs" dxfId="20" priority="3" operator="between">
      <formula>30</formula>
      <formula>119</formula>
    </cfRule>
    <cfRule type="cellIs" dxfId="19" priority="4" operator="between">
      <formula>0.01</formula>
      <formula>30</formula>
    </cfRule>
  </conditionalFormatting>
  <conditionalFormatting sqref="N1:O1048576">
    <cfRule type="cellIs" dxfId="18" priority="1" operator="between">
      <formula>1.5</formula>
      <formula>1.6</formula>
    </cfRule>
    <cfRule type="cellIs" dxfId="17" priority="2" operator="between">
      <formula>0.01</formula>
      <formula>1.49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56AE1-6946-8143-B768-32BED3614D85}">
  <dimension ref="A1:O87"/>
  <sheetViews>
    <sheetView workbookViewId="0">
      <selection activeCell="A67" sqref="A67"/>
    </sheetView>
  </sheetViews>
  <sheetFormatPr baseColWidth="10" defaultRowHeight="16" x14ac:dyDescent="0.2"/>
  <sheetData>
    <row r="1" spans="1:15" x14ac:dyDescent="0.2">
      <c r="A1" s="8" t="s">
        <v>151</v>
      </c>
      <c r="B1" s="8" t="s">
        <v>150</v>
      </c>
      <c r="C1" s="8" t="s">
        <v>149</v>
      </c>
      <c r="D1" s="8" t="s">
        <v>148</v>
      </c>
      <c r="E1" s="8" t="s">
        <v>147</v>
      </c>
      <c r="F1" s="8" t="s">
        <v>146</v>
      </c>
      <c r="G1" s="8" t="s">
        <v>255</v>
      </c>
      <c r="H1" s="8" t="s">
        <v>254</v>
      </c>
      <c r="I1" s="8" t="s">
        <v>145</v>
      </c>
      <c r="J1" s="8" t="s">
        <v>253</v>
      </c>
      <c r="K1" s="8" t="s">
        <v>252</v>
      </c>
      <c r="L1" s="7" t="s">
        <v>1</v>
      </c>
      <c r="M1" s="7" t="s">
        <v>2</v>
      </c>
      <c r="N1" s="7" t="s">
        <v>3</v>
      </c>
      <c r="O1" s="7" t="s">
        <v>4</v>
      </c>
    </row>
    <row r="2" spans="1:15" x14ac:dyDescent="0.2">
      <c r="A2" s="9" t="s">
        <v>142</v>
      </c>
      <c r="B2" s="9"/>
      <c r="C2" s="9">
        <v>31.180699575005399</v>
      </c>
      <c r="D2" s="9">
        <v>32.046172701524704</v>
      </c>
      <c r="E2" s="9">
        <v>31.056824930011999</v>
      </c>
      <c r="F2" s="9"/>
      <c r="G2" s="9">
        <v>30.659295057941598</v>
      </c>
      <c r="H2" s="9"/>
      <c r="I2" s="9">
        <v>32.468570574069503</v>
      </c>
      <c r="J2" s="9"/>
      <c r="K2" s="9"/>
      <c r="L2" s="9">
        <f>VLOOKUP(A2, 'Table lookup_I1'!$A$2:$G$114, 2,  FALSE)</f>
        <v>235.4</v>
      </c>
      <c r="M2" s="9" t="str">
        <f>VLOOKUP(A2, 'Table lookup_I1'!$A$2:$G$114, 3,  FALSE)</f>
        <v>ng/µl</v>
      </c>
      <c r="N2" s="9">
        <f>VLOOKUP(A2, 'Table lookup_I1'!$A$2:$G$114, 4,  FALSE)</f>
        <v>2.15</v>
      </c>
      <c r="O2" s="9">
        <f>VLOOKUP(A2, 'Table lookup_I1'!$A$2:$G$114, 5,  FALSE)</f>
        <v>1.43</v>
      </c>
    </row>
    <row r="3" spans="1:15" x14ac:dyDescent="0.2">
      <c r="A3" s="9" t="s">
        <v>134</v>
      </c>
      <c r="B3" s="9"/>
      <c r="C3" s="9">
        <v>36.819253136802203</v>
      </c>
      <c r="D3" s="9"/>
      <c r="E3" s="9">
        <v>39.121615960840302</v>
      </c>
      <c r="F3" s="9">
        <v>39.782969732890599</v>
      </c>
      <c r="G3" s="9">
        <v>35.508277094945697</v>
      </c>
      <c r="H3" s="9">
        <v>37.282844185751202</v>
      </c>
      <c r="I3" s="9">
        <v>35.879865423678297</v>
      </c>
      <c r="J3" s="9">
        <v>39.007282487771</v>
      </c>
      <c r="K3" s="9"/>
      <c r="L3" s="9">
        <f>VLOOKUP(A3, 'Table lookup_I1'!$A$2:$G$114, 2,  FALSE)</f>
        <v>228.6</v>
      </c>
      <c r="M3" s="9" t="str">
        <f>VLOOKUP(A3, 'Table lookup_I1'!$A$2:$G$114, 3,  FALSE)</f>
        <v>ng/µl</v>
      </c>
      <c r="N3" s="9">
        <f>VLOOKUP(A3, 'Table lookup_I1'!$A$2:$G$114, 4,  FALSE)</f>
        <v>2.12</v>
      </c>
      <c r="O3" s="9">
        <f>VLOOKUP(A3, 'Table lookup_I1'!$A$2:$G$114, 5,  FALSE)</f>
        <v>1.98</v>
      </c>
    </row>
    <row r="4" spans="1:15" x14ac:dyDescent="0.2">
      <c r="A4" s="9" t="s">
        <v>133</v>
      </c>
      <c r="B4" s="9"/>
      <c r="C4" s="9"/>
      <c r="D4" s="9">
        <v>30.875654552918501</v>
      </c>
      <c r="E4" s="9">
        <v>35.847010903380102</v>
      </c>
      <c r="F4" s="9"/>
      <c r="G4" s="9"/>
      <c r="H4" s="9"/>
      <c r="I4" s="9">
        <v>31.392562213168802</v>
      </c>
      <c r="J4" s="9"/>
      <c r="K4" s="9"/>
      <c r="L4" s="9">
        <f>VLOOKUP(A4, 'Table lookup_I1'!$A$2:$G$114, 2,  FALSE)</f>
        <v>131.4</v>
      </c>
      <c r="M4" s="9" t="str">
        <f>VLOOKUP(A4, 'Table lookup_I1'!$A$2:$G$114, 3,  FALSE)</f>
        <v>ng/µl</v>
      </c>
      <c r="N4" s="9">
        <f>VLOOKUP(A4, 'Table lookup_I1'!$A$2:$G$114, 4,  FALSE)</f>
        <v>2</v>
      </c>
      <c r="O4" s="9">
        <f>VLOOKUP(A4, 'Table lookup_I1'!$A$2:$G$114, 5,  FALSE)</f>
        <v>0.57999999999999996</v>
      </c>
    </row>
    <row r="5" spans="1:15" x14ac:dyDescent="0.2">
      <c r="A5" s="9" t="s">
        <v>202</v>
      </c>
      <c r="B5" s="9">
        <v>30.201840885759601</v>
      </c>
      <c r="C5" s="9">
        <v>31.789549262959198</v>
      </c>
      <c r="D5" s="9">
        <v>31.850354135367599</v>
      </c>
      <c r="E5" s="9">
        <v>31.230445081621301</v>
      </c>
      <c r="F5" s="9">
        <v>34.455340072629703</v>
      </c>
      <c r="G5" s="9">
        <v>31.632001511093801</v>
      </c>
      <c r="H5" s="9">
        <v>32.557169376789403</v>
      </c>
      <c r="I5" s="9">
        <v>31.265695335504098</v>
      </c>
      <c r="J5" s="9">
        <v>38.650780638594597</v>
      </c>
      <c r="K5" s="9">
        <v>32.549639102494197</v>
      </c>
      <c r="L5" s="9">
        <f>VLOOKUP(A5, 'Table lookup_I1'!$A$2:$G$114, 2,  FALSE)</f>
        <v>74.8</v>
      </c>
      <c r="M5" s="9" t="str">
        <f>VLOOKUP(A5, 'Table lookup_I1'!$A$2:$G$114, 3,  FALSE)</f>
        <v>ng/µl</v>
      </c>
      <c r="N5" s="9">
        <f>VLOOKUP(A5, 'Table lookup_I1'!$A$2:$G$114, 4,  FALSE)</f>
        <v>2.2999999999999998</v>
      </c>
      <c r="O5" s="9">
        <f>VLOOKUP(A5, 'Table lookup_I1'!$A$2:$G$114, 5,  FALSE)</f>
        <v>1.44</v>
      </c>
    </row>
    <row r="6" spans="1:15" x14ac:dyDescent="0.2">
      <c r="A6" s="9" t="s">
        <v>201</v>
      </c>
      <c r="B6" s="9">
        <v>32.805041197542302</v>
      </c>
      <c r="C6" s="9">
        <v>35.365615835746397</v>
      </c>
      <c r="D6" s="9">
        <v>39.163895731470497</v>
      </c>
      <c r="E6" s="9">
        <v>37.285711153499498</v>
      </c>
      <c r="F6" s="9">
        <v>34.557495681866698</v>
      </c>
      <c r="G6" s="9"/>
      <c r="H6" s="9"/>
      <c r="I6" s="9"/>
      <c r="J6" s="9">
        <v>34.753324916728303</v>
      </c>
      <c r="K6" s="9">
        <v>37.606885059761296</v>
      </c>
      <c r="L6" s="9">
        <f>VLOOKUP(A6, 'Table lookup_I1'!$A$2:$G$114, 2,  FALSE)</f>
        <v>214.9</v>
      </c>
      <c r="M6" s="9" t="str">
        <f>VLOOKUP(A6, 'Table lookup_I1'!$A$2:$G$114, 3,  FALSE)</f>
        <v>ng/µl</v>
      </c>
      <c r="N6" s="9">
        <f>VLOOKUP(A6, 'Table lookup_I1'!$A$2:$G$114, 4,  FALSE)</f>
        <v>2.0499999999999998</v>
      </c>
      <c r="O6" s="9">
        <f>VLOOKUP(A6, 'Table lookup_I1'!$A$2:$G$114, 5,  FALSE)</f>
        <v>1.72</v>
      </c>
    </row>
    <row r="7" spans="1:15" x14ac:dyDescent="0.2">
      <c r="A7" s="9" t="s">
        <v>195</v>
      </c>
      <c r="B7" s="9"/>
      <c r="C7" s="9">
        <v>32.636597462783001</v>
      </c>
      <c r="D7" s="9">
        <v>39.020225779201397</v>
      </c>
      <c r="E7" s="9">
        <v>38.1204419621371</v>
      </c>
      <c r="F7" s="9">
        <v>30.780149219804699</v>
      </c>
      <c r="G7" s="9">
        <v>38.387973293369598</v>
      </c>
      <c r="H7" s="9"/>
      <c r="I7" s="9">
        <v>38.188995610113302</v>
      </c>
      <c r="J7" s="9">
        <v>32.944874724422</v>
      </c>
      <c r="K7" s="9"/>
      <c r="L7" s="9">
        <f>VLOOKUP(A7, 'Table lookup_I1'!$A$2:$G$114, 2,  FALSE)</f>
        <v>357</v>
      </c>
      <c r="M7" s="9" t="str">
        <f>VLOOKUP(A7, 'Table lookup_I1'!$A$2:$G$114, 3,  FALSE)</f>
        <v>ng/µl</v>
      </c>
      <c r="N7" s="9">
        <f>VLOOKUP(A7, 'Table lookup_I1'!$A$2:$G$114, 4,  FALSE)</f>
        <v>2.16</v>
      </c>
      <c r="O7" s="9">
        <f>VLOOKUP(A7, 'Table lookup_I1'!$A$2:$G$114, 5,  FALSE)</f>
        <v>1.65</v>
      </c>
    </row>
    <row r="8" spans="1:15" x14ac:dyDescent="0.2">
      <c r="A8" s="9" t="s">
        <v>123</v>
      </c>
      <c r="B8" s="9"/>
      <c r="C8" s="9">
        <v>33.183911348099699</v>
      </c>
      <c r="D8" s="9">
        <v>38.847522585326502</v>
      </c>
      <c r="E8" s="9">
        <v>34.160538067752</v>
      </c>
      <c r="F8" s="9"/>
      <c r="G8" s="9">
        <v>34.515978194580697</v>
      </c>
      <c r="H8" s="9">
        <v>34.261582305303101</v>
      </c>
      <c r="I8" s="9">
        <v>32.560916913316902</v>
      </c>
      <c r="J8" s="9">
        <v>31.5375729803418</v>
      </c>
      <c r="K8" s="9">
        <v>39.310573342956701</v>
      </c>
      <c r="L8" s="9">
        <f>VLOOKUP(A8, 'Table lookup_I1'!$A$2:$G$114, 2,  FALSE)</f>
        <v>282</v>
      </c>
      <c r="M8" s="9" t="str">
        <f>VLOOKUP(A8, 'Table lookup_I1'!$A$2:$G$114, 3,  FALSE)</f>
        <v>ng/µl</v>
      </c>
      <c r="N8" s="9">
        <f>VLOOKUP(A8, 'Table lookup_I1'!$A$2:$G$114, 4,  FALSE)</f>
        <v>2.15</v>
      </c>
      <c r="O8" s="9">
        <f>VLOOKUP(A8, 'Table lookup_I1'!$A$2:$G$114, 5,  FALSE)</f>
        <v>1.84</v>
      </c>
    </row>
    <row r="9" spans="1:15" x14ac:dyDescent="0.2">
      <c r="A9" s="9" t="s">
        <v>153</v>
      </c>
      <c r="B9" s="9"/>
      <c r="C9" s="9"/>
      <c r="D9" s="9">
        <v>33.780681170281497</v>
      </c>
      <c r="E9" s="9">
        <v>30.751454485437499</v>
      </c>
      <c r="F9" s="9"/>
      <c r="G9" s="9">
        <v>33.389097166433899</v>
      </c>
      <c r="H9" s="9">
        <v>31.9428377067483</v>
      </c>
      <c r="I9" s="9">
        <v>36.079639644802697</v>
      </c>
      <c r="J9" s="9"/>
      <c r="K9" s="9">
        <v>30.4832156936234</v>
      </c>
      <c r="L9" s="9">
        <f>VLOOKUP(A9, 'Table lookup_I1'!$A$2:$G$114, 2,  FALSE)</f>
        <v>99.3</v>
      </c>
      <c r="M9" s="9" t="str">
        <f>VLOOKUP(A9, 'Table lookup_I1'!$A$2:$G$114, 3,  FALSE)</f>
        <v>ng/µl</v>
      </c>
      <c r="N9" s="9">
        <f>VLOOKUP(A9, 'Table lookup_I1'!$A$2:$G$114, 4,  FALSE)</f>
        <v>2.09</v>
      </c>
      <c r="O9" s="9">
        <f>VLOOKUP(A9, 'Table lookup_I1'!$A$2:$G$114, 5,  FALSE)</f>
        <v>1.26</v>
      </c>
    </row>
    <row r="10" spans="1:15" x14ac:dyDescent="0.2">
      <c r="A10" s="9" t="s">
        <v>167</v>
      </c>
      <c r="B10" s="9"/>
      <c r="C10" s="9"/>
      <c r="D10" s="9">
        <v>33.367855397401797</v>
      </c>
      <c r="E10" s="9">
        <v>30.838656436774698</v>
      </c>
      <c r="F10" s="9"/>
      <c r="G10" s="9">
        <v>33.4242079916189</v>
      </c>
      <c r="H10" s="9">
        <v>32.341546302734599</v>
      </c>
      <c r="I10" s="9">
        <v>33.865469603327703</v>
      </c>
      <c r="J10" s="9"/>
      <c r="K10" s="9">
        <v>31.475291542392199</v>
      </c>
      <c r="L10" s="9">
        <f>VLOOKUP(A10, 'Table lookup_I1'!$A$2:$G$114, 2,  FALSE)</f>
        <v>468.9</v>
      </c>
      <c r="M10" s="9" t="str">
        <f>VLOOKUP(A10, 'Table lookup_I1'!$A$2:$G$114, 3,  FALSE)</f>
        <v>ng/µl</v>
      </c>
      <c r="N10" s="9">
        <f>VLOOKUP(A10, 'Table lookup_I1'!$A$2:$G$114, 4,  FALSE)</f>
        <v>2.14</v>
      </c>
      <c r="O10" s="9">
        <f>VLOOKUP(A10, 'Table lookup_I1'!$A$2:$G$114, 5,  FALSE)</f>
        <v>1.31</v>
      </c>
    </row>
    <row r="11" spans="1:15" s="10" customFormat="1" x14ac:dyDescent="0.2">
      <c r="A11" t="s">
        <v>212</v>
      </c>
      <c r="B11"/>
      <c r="C11"/>
      <c r="D11"/>
      <c r="E11"/>
      <c r="F11"/>
      <c r="G11"/>
      <c r="H11"/>
      <c r="I11"/>
      <c r="J11">
        <v>32.379393228169697</v>
      </c>
      <c r="K11"/>
      <c r="L11">
        <f>VLOOKUP(A11, 'Table lookup_I1'!$A$2:$G$114, 2,  FALSE)</f>
        <v>271.10000000000002</v>
      </c>
      <c r="M11" t="str">
        <f>VLOOKUP(A11, 'Table lookup_I1'!$A$2:$G$114, 3,  FALSE)</f>
        <v>ng/µl</v>
      </c>
      <c r="N11">
        <f>VLOOKUP(A11, 'Table lookup_I1'!$A$2:$G$114, 4,  FALSE)</f>
        <v>2.16</v>
      </c>
      <c r="O11">
        <f>VLOOKUP(A11, 'Table lookup_I1'!$A$2:$G$114, 5,  FALSE)</f>
        <v>1.81</v>
      </c>
    </row>
    <row r="12" spans="1:15" s="10" customFormat="1" x14ac:dyDescent="0.2">
      <c r="A12" t="s">
        <v>211</v>
      </c>
      <c r="B12"/>
      <c r="C12"/>
      <c r="D12"/>
      <c r="E12"/>
      <c r="F12"/>
      <c r="G12"/>
      <c r="H12"/>
      <c r="I12"/>
      <c r="J12">
        <v>30.277576355664301</v>
      </c>
      <c r="K12"/>
      <c r="L12">
        <f>VLOOKUP(A12, 'Table lookup_I1'!$A$2:$G$114, 2,  FALSE)</f>
        <v>327.10000000000002</v>
      </c>
      <c r="M12" t="str">
        <f>VLOOKUP(A12, 'Table lookup_I1'!$A$2:$G$114, 3,  FALSE)</f>
        <v>ng/µl</v>
      </c>
      <c r="N12">
        <f>VLOOKUP(A12, 'Table lookup_I1'!$A$2:$G$114, 4,  FALSE)</f>
        <v>2.14</v>
      </c>
      <c r="O12">
        <f>VLOOKUP(A12, 'Table lookup_I1'!$A$2:$G$114, 5,  FALSE)</f>
        <v>2.1800000000000002</v>
      </c>
    </row>
    <row r="13" spans="1:15" s="10" customFormat="1" x14ac:dyDescent="0.2">
      <c r="A13" t="s">
        <v>144</v>
      </c>
      <c r="B13"/>
      <c r="C13"/>
      <c r="D13">
        <v>32.524723172480599</v>
      </c>
      <c r="E13"/>
      <c r="F13"/>
      <c r="G13"/>
      <c r="H13"/>
      <c r="I13"/>
      <c r="J13"/>
      <c r="K13">
        <v>30.649827588045</v>
      </c>
      <c r="L13">
        <f>VLOOKUP(A13, 'Table lookup_I1'!$A$2:$G$114, 2,  FALSE)</f>
        <v>254</v>
      </c>
      <c r="M13" t="str">
        <f>VLOOKUP(A13, 'Table lookup_I1'!$A$2:$G$114, 3,  FALSE)</f>
        <v>ng/µl</v>
      </c>
      <c r="N13">
        <f>VLOOKUP(A13, 'Table lookup_I1'!$A$2:$G$114, 4,  FALSE)</f>
        <v>2.16</v>
      </c>
      <c r="O13">
        <f>VLOOKUP(A13, 'Table lookup_I1'!$A$2:$G$114, 5,  FALSE)</f>
        <v>1.52</v>
      </c>
    </row>
    <row r="14" spans="1:15" s="10" customFormat="1" x14ac:dyDescent="0.2">
      <c r="A14" t="s">
        <v>188</v>
      </c>
      <c r="B14"/>
      <c r="C14"/>
      <c r="D14">
        <v>31.9880050302481</v>
      </c>
      <c r="E14"/>
      <c r="F14"/>
      <c r="G14"/>
      <c r="H14"/>
      <c r="I14"/>
      <c r="J14"/>
      <c r="K14"/>
      <c r="L14">
        <f>VLOOKUP(A14, 'Table lookup_I1'!$A$2:$G$114, 2,  FALSE)</f>
        <v>278.89999999999998</v>
      </c>
      <c r="M14" t="str">
        <f>VLOOKUP(A14, 'Table lookup_I1'!$A$2:$G$114, 3,  FALSE)</f>
        <v>ng/µl</v>
      </c>
      <c r="N14">
        <f>VLOOKUP(A14, 'Table lookup_I1'!$A$2:$G$114, 4,  FALSE)</f>
        <v>2.14</v>
      </c>
      <c r="O14">
        <f>VLOOKUP(A14, 'Table lookup_I1'!$A$2:$G$114, 5,  FALSE)</f>
        <v>0.61</v>
      </c>
    </row>
    <row r="15" spans="1:15" s="10" customFormat="1" x14ac:dyDescent="0.2">
      <c r="A15" t="s">
        <v>161</v>
      </c>
      <c r="B15"/>
      <c r="C15"/>
      <c r="D15">
        <v>32.209401246134703</v>
      </c>
      <c r="E15">
        <v>30.021777884460299</v>
      </c>
      <c r="F15"/>
      <c r="G15"/>
      <c r="H15"/>
      <c r="I15"/>
      <c r="J15"/>
      <c r="K15">
        <v>30.270238340198699</v>
      </c>
      <c r="L15">
        <f>VLOOKUP(A15, 'Table lookup_I1'!$A$2:$G$114, 2,  FALSE)</f>
        <v>265.3</v>
      </c>
      <c r="M15" t="str">
        <f>VLOOKUP(A15, 'Table lookup_I1'!$A$2:$G$114, 3,  FALSE)</f>
        <v>ng/µl</v>
      </c>
      <c r="N15">
        <f>VLOOKUP(A15, 'Table lookup_I1'!$A$2:$G$114, 4,  FALSE)</f>
        <v>2.15</v>
      </c>
      <c r="O15">
        <f>VLOOKUP(A15, 'Table lookup_I1'!$A$2:$G$114, 5,  FALSE)</f>
        <v>2.0099999999999998</v>
      </c>
    </row>
    <row r="16" spans="1:15" s="10" customFormat="1" x14ac:dyDescent="0.2">
      <c r="A16" t="s">
        <v>210</v>
      </c>
      <c r="B16"/>
      <c r="C16"/>
      <c r="D16"/>
      <c r="E16"/>
      <c r="F16"/>
      <c r="G16"/>
      <c r="H16"/>
      <c r="I16"/>
      <c r="J16">
        <v>34.0208236239827</v>
      </c>
      <c r="K16">
        <v>31.104646356608399</v>
      </c>
      <c r="L16">
        <f>VLOOKUP(A16, 'Table lookup_I1'!$A$2:$G$114, 2,  FALSE)</f>
        <v>300.7</v>
      </c>
      <c r="M16" t="str">
        <f>VLOOKUP(A16, 'Table lookup_I1'!$A$2:$G$114, 3,  FALSE)</f>
        <v>ng/µl</v>
      </c>
      <c r="N16">
        <f>VLOOKUP(A16, 'Table lookup_I1'!$A$2:$G$114, 4,  FALSE)</f>
        <v>2.08</v>
      </c>
      <c r="O16">
        <f>VLOOKUP(A16, 'Table lookup_I1'!$A$2:$G$114, 5,  FALSE)</f>
        <v>1.75</v>
      </c>
    </row>
    <row r="17" spans="1:15" s="10" customFormat="1" x14ac:dyDescent="0.2">
      <c r="A17" t="s">
        <v>209</v>
      </c>
      <c r="B17"/>
      <c r="C17"/>
      <c r="D17"/>
      <c r="E17"/>
      <c r="F17"/>
      <c r="G17"/>
      <c r="H17"/>
      <c r="I17"/>
      <c r="J17">
        <v>31.0985414776301</v>
      </c>
      <c r="K17"/>
      <c r="L17">
        <f>VLOOKUP(A17, 'Table lookup_I1'!$A$2:$G$114, 2,  FALSE)</f>
        <v>248.9</v>
      </c>
      <c r="M17" t="str">
        <f>VLOOKUP(A17, 'Table lookup_I1'!$A$2:$G$114, 3,  FALSE)</f>
        <v>ng/µl</v>
      </c>
      <c r="N17">
        <f>VLOOKUP(A17, 'Table lookup_I1'!$A$2:$G$114, 4,  FALSE)</f>
        <v>2.17</v>
      </c>
      <c r="O17">
        <f>VLOOKUP(A17, 'Table lookup_I1'!$A$2:$G$114, 5,  FALSE)</f>
        <v>0.87</v>
      </c>
    </row>
    <row r="18" spans="1:15" s="10" customFormat="1" x14ac:dyDescent="0.2">
      <c r="A18" t="s">
        <v>208</v>
      </c>
      <c r="B18"/>
      <c r="C18"/>
      <c r="D18"/>
      <c r="E18"/>
      <c r="F18"/>
      <c r="G18"/>
      <c r="H18"/>
      <c r="I18"/>
      <c r="J18">
        <v>31.0675377457233</v>
      </c>
      <c r="K18"/>
      <c r="L18">
        <f>VLOOKUP(A18, 'Table lookup_I1'!$A$2:$G$114, 2,  FALSE)</f>
        <v>523.6</v>
      </c>
      <c r="M18" t="str">
        <f>VLOOKUP(A18, 'Table lookup_I1'!$A$2:$G$114, 3,  FALSE)</f>
        <v>ng/µl</v>
      </c>
      <c r="N18">
        <f>VLOOKUP(A18, 'Table lookup_I1'!$A$2:$G$114, 4,  FALSE)</f>
        <v>2.14</v>
      </c>
      <c r="O18">
        <f>VLOOKUP(A18, 'Table lookup_I1'!$A$2:$G$114, 5,  FALSE)</f>
        <v>1.84</v>
      </c>
    </row>
    <row r="19" spans="1:15" s="10" customFormat="1" x14ac:dyDescent="0.2">
      <c r="A19" t="s">
        <v>143</v>
      </c>
      <c r="B19"/>
      <c r="C19">
        <v>30.533011581043102</v>
      </c>
      <c r="D19">
        <v>30.017440090309201</v>
      </c>
      <c r="E19"/>
      <c r="F19"/>
      <c r="G19"/>
      <c r="H19"/>
      <c r="I19"/>
      <c r="J19">
        <v>32.0639188140619</v>
      </c>
      <c r="K19"/>
      <c r="L19">
        <f>VLOOKUP(A19, 'Table lookup_I1'!$A$2:$G$114, 2,  FALSE)</f>
        <v>75.2</v>
      </c>
      <c r="M19" t="str">
        <f>VLOOKUP(A19, 'Table lookup_I1'!$A$2:$G$114, 3,  FALSE)</f>
        <v>ng/µl</v>
      </c>
      <c r="N19">
        <f>VLOOKUP(A19, 'Table lookup_I1'!$A$2:$G$114, 4,  FALSE)</f>
        <v>2.15</v>
      </c>
      <c r="O19">
        <f>VLOOKUP(A19, 'Table lookup_I1'!$A$2:$G$114, 5,  FALSE)</f>
        <v>0.46</v>
      </c>
    </row>
    <row r="20" spans="1:15" s="10" customFormat="1" x14ac:dyDescent="0.2">
      <c r="A20" t="s">
        <v>187</v>
      </c>
      <c r="B20"/>
      <c r="C20"/>
      <c r="D20"/>
      <c r="E20"/>
      <c r="F20"/>
      <c r="G20"/>
      <c r="H20"/>
      <c r="I20">
        <v>31.232790696514598</v>
      </c>
      <c r="J20"/>
      <c r="K20"/>
      <c r="L20">
        <f>VLOOKUP(A20, 'Table lookup_I1'!$A$2:$G$114, 2,  FALSE)</f>
        <v>409.9</v>
      </c>
      <c r="M20" t="str">
        <f>VLOOKUP(A20, 'Table lookup_I1'!$A$2:$G$114, 3,  FALSE)</f>
        <v>ng/µl</v>
      </c>
      <c r="N20">
        <f>VLOOKUP(A20, 'Table lookup_I1'!$A$2:$G$114, 4,  FALSE)</f>
        <v>2.15</v>
      </c>
      <c r="O20">
        <f>VLOOKUP(A20, 'Table lookup_I1'!$A$2:$G$114, 5,  FALSE)</f>
        <v>2.13</v>
      </c>
    </row>
    <row r="21" spans="1:15" s="10" customFormat="1" x14ac:dyDescent="0.2">
      <c r="A21" t="s">
        <v>186</v>
      </c>
      <c r="B21"/>
      <c r="C21"/>
      <c r="D21">
        <v>30.924913046755499</v>
      </c>
      <c r="E21"/>
      <c r="F21"/>
      <c r="G21"/>
      <c r="H21"/>
      <c r="I21"/>
      <c r="J21"/>
      <c r="K21"/>
      <c r="L21">
        <f>VLOOKUP(A21, 'Table lookup_I1'!$A$2:$G$114, 2,  FALSE)</f>
        <v>177.7</v>
      </c>
      <c r="M21" t="str">
        <f>VLOOKUP(A21, 'Table lookup_I1'!$A$2:$G$114, 3,  FALSE)</f>
        <v>ng/µl</v>
      </c>
      <c r="N21">
        <f>VLOOKUP(A21, 'Table lookup_I1'!$A$2:$G$114, 4,  FALSE)</f>
        <v>2.19</v>
      </c>
      <c r="O21">
        <f>VLOOKUP(A21, 'Table lookup_I1'!$A$2:$G$114, 5,  FALSE)</f>
        <v>0.93</v>
      </c>
    </row>
    <row r="22" spans="1:15" s="10" customFormat="1" x14ac:dyDescent="0.2">
      <c r="A22" t="s">
        <v>160</v>
      </c>
      <c r="B22"/>
      <c r="C22"/>
      <c r="D22">
        <v>30.285480302821899</v>
      </c>
      <c r="E22"/>
      <c r="F22"/>
      <c r="G22"/>
      <c r="H22"/>
      <c r="I22"/>
      <c r="J22"/>
      <c r="K22"/>
      <c r="L22">
        <f>VLOOKUP(A22, 'Table lookup_I1'!$A$2:$G$114, 2,  FALSE)</f>
        <v>115.1</v>
      </c>
      <c r="M22" t="str">
        <f>VLOOKUP(A22, 'Table lookup_I1'!$A$2:$G$114, 3,  FALSE)</f>
        <v>ng/µl</v>
      </c>
      <c r="N22">
        <f>VLOOKUP(A22, 'Table lookup_I1'!$A$2:$G$114, 4,  FALSE)</f>
        <v>2.1</v>
      </c>
      <c r="O22">
        <f>VLOOKUP(A22, 'Table lookup_I1'!$A$2:$G$114, 5,  FALSE)</f>
        <v>1.1499999999999999</v>
      </c>
    </row>
    <row r="23" spans="1:15" s="10" customFormat="1" x14ac:dyDescent="0.2">
      <c r="A23" t="s">
        <v>141</v>
      </c>
      <c r="B23"/>
      <c r="C23"/>
      <c r="D23"/>
      <c r="E23"/>
      <c r="F23"/>
      <c r="G23"/>
      <c r="H23"/>
      <c r="I23">
        <v>30.626654620270699</v>
      </c>
      <c r="J23"/>
      <c r="K23"/>
      <c r="L23">
        <f>VLOOKUP(A23, 'Table lookup_I1'!$A$2:$G$114, 2,  FALSE)</f>
        <v>277.10000000000002</v>
      </c>
      <c r="M23" t="str">
        <f>VLOOKUP(A23, 'Table lookup_I1'!$A$2:$G$114, 3,  FALSE)</f>
        <v>ng/µl</v>
      </c>
      <c r="N23">
        <f>VLOOKUP(A23, 'Table lookup_I1'!$A$2:$G$114, 4,  FALSE)</f>
        <v>2.15</v>
      </c>
      <c r="O23">
        <f>VLOOKUP(A23, 'Table lookup_I1'!$A$2:$G$114, 5,  FALSE)</f>
        <v>1.3</v>
      </c>
    </row>
    <row r="24" spans="1:15" s="10" customFormat="1" x14ac:dyDescent="0.2">
      <c r="A24" t="s">
        <v>185</v>
      </c>
      <c r="B24"/>
      <c r="C24"/>
      <c r="D24"/>
      <c r="E24"/>
      <c r="F24"/>
      <c r="G24"/>
      <c r="H24"/>
      <c r="I24">
        <v>31.219633124646201</v>
      </c>
      <c r="J24"/>
      <c r="K24"/>
      <c r="L24">
        <f>VLOOKUP(A24, 'Table lookup_I1'!$A$2:$G$114, 2,  FALSE)</f>
        <v>125.9</v>
      </c>
      <c r="M24" t="str">
        <f>VLOOKUP(A24, 'Table lookup_I1'!$A$2:$G$114, 3,  FALSE)</f>
        <v>ng/µl</v>
      </c>
      <c r="N24">
        <f>VLOOKUP(A24, 'Table lookup_I1'!$A$2:$G$114, 4,  FALSE)</f>
        <v>2.17</v>
      </c>
      <c r="O24">
        <f>VLOOKUP(A24, 'Table lookup_I1'!$A$2:$G$114, 5,  FALSE)</f>
        <v>0.36</v>
      </c>
    </row>
    <row r="25" spans="1:15" s="10" customFormat="1" x14ac:dyDescent="0.2">
      <c r="A25" t="s">
        <v>159</v>
      </c>
      <c r="B25"/>
      <c r="C25"/>
      <c r="D25"/>
      <c r="E25"/>
      <c r="F25"/>
      <c r="G25"/>
      <c r="H25"/>
      <c r="I25">
        <v>33.307090629207302</v>
      </c>
      <c r="J25"/>
      <c r="K25"/>
      <c r="L25">
        <f>VLOOKUP(A25, 'Table lookup_I1'!$A$2:$G$114, 2,  FALSE)</f>
        <v>63.3</v>
      </c>
      <c r="M25" t="str">
        <f>VLOOKUP(A25, 'Table lookup_I1'!$A$2:$G$114, 3,  FALSE)</f>
        <v>ng/µl</v>
      </c>
      <c r="N25">
        <f>VLOOKUP(A25, 'Table lookup_I1'!$A$2:$G$114, 4,  FALSE)</f>
        <v>2.0499999999999998</v>
      </c>
      <c r="O25">
        <f>VLOOKUP(A25, 'Table lookup_I1'!$A$2:$G$114, 5,  FALSE)</f>
        <v>0.53</v>
      </c>
    </row>
    <row r="26" spans="1:15" s="10" customFormat="1" x14ac:dyDescent="0.2">
      <c r="A26" t="s">
        <v>140</v>
      </c>
      <c r="B26"/>
      <c r="C26"/>
      <c r="D26"/>
      <c r="E26"/>
      <c r="F26"/>
      <c r="G26"/>
      <c r="H26"/>
      <c r="I26">
        <v>32.029912816767101</v>
      </c>
      <c r="J26"/>
      <c r="K26"/>
      <c r="L26">
        <f>VLOOKUP(A26, 'Table lookup_I1'!$A$2:$G$114, 2,  FALSE)</f>
        <v>348.7</v>
      </c>
      <c r="M26" t="str">
        <f>VLOOKUP(A26, 'Table lookup_I1'!$A$2:$G$114, 3,  FALSE)</f>
        <v>ng/µl</v>
      </c>
      <c r="N26">
        <f>VLOOKUP(A26, 'Table lookup_I1'!$A$2:$G$114, 4,  FALSE)</f>
        <v>2.11</v>
      </c>
      <c r="O26">
        <f>VLOOKUP(A26, 'Table lookup_I1'!$A$2:$G$114, 5,  FALSE)</f>
        <v>1.9</v>
      </c>
    </row>
    <row r="27" spans="1:15" s="10" customFormat="1" x14ac:dyDescent="0.2">
      <c r="A27" s="21" t="s">
        <v>184</v>
      </c>
      <c r="B27"/>
      <c r="C27"/>
      <c r="D27">
        <v>30.016210116427601</v>
      </c>
      <c r="E27"/>
      <c r="F27"/>
      <c r="G27"/>
      <c r="H27"/>
      <c r="I27">
        <v>31.821805530508499</v>
      </c>
      <c r="J27">
        <v>30.838750551691799</v>
      </c>
      <c r="K27"/>
      <c r="L27">
        <f>VLOOKUP(A27, 'Table lookup_I1'!$A$2:$G$114, 2,  FALSE)</f>
        <v>89.3</v>
      </c>
      <c r="M27" t="str">
        <f>VLOOKUP(A27, 'Table lookup_I1'!$A$2:$G$114, 3,  FALSE)</f>
        <v>ng/µl</v>
      </c>
      <c r="N27">
        <f>VLOOKUP(A27, 'Table lookup_I1'!$A$2:$G$114, 4,  FALSE)</f>
        <v>1.98</v>
      </c>
      <c r="O27">
        <f>VLOOKUP(A27, 'Table lookup_I1'!$A$2:$G$114, 5,  FALSE)</f>
        <v>0.71</v>
      </c>
    </row>
    <row r="28" spans="1:15" s="10" customFormat="1" x14ac:dyDescent="0.2">
      <c r="A28" t="s">
        <v>158</v>
      </c>
      <c r="B28"/>
      <c r="C28"/>
      <c r="D28"/>
      <c r="E28"/>
      <c r="F28"/>
      <c r="G28"/>
      <c r="H28"/>
      <c r="I28">
        <v>30.893453019940399</v>
      </c>
      <c r="J28"/>
      <c r="K28"/>
      <c r="L28">
        <f>VLOOKUP(A28, 'Table lookup_I1'!$A$2:$G$114, 2,  FALSE)</f>
        <v>317.89999999999998</v>
      </c>
      <c r="M28" t="str">
        <f>VLOOKUP(A28, 'Table lookup_I1'!$A$2:$G$114, 3,  FALSE)</f>
        <v>ng/µl</v>
      </c>
      <c r="N28">
        <f>VLOOKUP(A28, 'Table lookup_I1'!$A$2:$G$114, 4,  FALSE)</f>
        <v>2.15</v>
      </c>
      <c r="O28">
        <f>VLOOKUP(A28, 'Table lookup_I1'!$A$2:$G$114, 5,  FALSE)</f>
        <v>1.55</v>
      </c>
    </row>
    <row r="29" spans="1:15" s="10" customFormat="1" x14ac:dyDescent="0.2">
      <c r="A29" s="21" t="s">
        <v>139</v>
      </c>
      <c r="B29"/>
      <c r="C29"/>
      <c r="D29">
        <v>30.996832091205601</v>
      </c>
      <c r="E29"/>
      <c r="F29"/>
      <c r="G29">
        <v>32.111323189053998</v>
      </c>
      <c r="H29"/>
      <c r="I29">
        <v>34.524511311788501</v>
      </c>
      <c r="J29">
        <v>30.3207887169409</v>
      </c>
      <c r="K29"/>
      <c r="L29">
        <f>VLOOKUP(A29, 'Table lookup_I1'!$A$2:$G$114, 2,  FALSE)</f>
        <v>317.7</v>
      </c>
      <c r="M29" t="str">
        <f>VLOOKUP(A29, 'Table lookup_I1'!$A$2:$G$114, 3,  FALSE)</f>
        <v>ng/µl</v>
      </c>
      <c r="N29">
        <f>VLOOKUP(A29, 'Table lookup_I1'!$A$2:$G$114, 4,  FALSE)</f>
        <v>2.09</v>
      </c>
      <c r="O29">
        <f>VLOOKUP(A29, 'Table lookup_I1'!$A$2:$G$114, 5,  FALSE)</f>
        <v>1.25</v>
      </c>
    </row>
    <row r="30" spans="1:15" s="10" customFormat="1" x14ac:dyDescent="0.2">
      <c r="A30" s="21" t="s">
        <v>183</v>
      </c>
      <c r="B30"/>
      <c r="C30"/>
      <c r="D30">
        <v>30.4535254594824</v>
      </c>
      <c r="E30"/>
      <c r="F30"/>
      <c r="G30">
        <v>31.175070438109799</v>
      </c>
      <c r="H30"/>
      <c r="I30">
        <v>33.590975412113501</v>
      </c>
      <c r="J30">
        <v>30.078267926890099</v>
      </c>
      <c r="K30"/>
      <c r="L30">
        <f>VLOOKUP(A30, 'Table lookup_I1'!$A$2:$G$114, 2,  FALSE)</f>
        <v>233.6</v>
      </c>
      <c r="M30" t="str">
        <f>VLOOKUP(A30, 'Table lookup_I1'!$A$2:$G$114, 3,  FALSE)</f>
        <v>ng/µl</v>
      </c>
      <c r="N30">
        <f>VLOOKUP(A30, 'Table lookup_I1'!$A$2:$G$114, 4,  FALSE)</f>
        <v>2.0699999999999998</v>
      </c>
      <c r="O30">
        <f>VLOOKUP(A30, 'Table lookup_I1'!$A$2:$G$114, 5,  FALSE)</f>
        <v>1.1599999999999999</v>
      </c>
    </row>
    <row r="31" spans="1:15" s="10" customFormat="1" x14ac:dyDescent="0.2">
      <c r="A31" s="21" t="s">
        <v>157</v>
      </c>
      <c r="B31"/>
      <c r="C31"/>
      <c r="D31">
        <v>31.2927465755327</v>
      </c>
      <c r="E31"/>
      <c r="F31"/>
      <c r="G31">
        <v>32.890790634471699</v>
      </c>
      <c r="H31"/>
      <c r="I31"/>
      <c r="J31">
        <v>30.715531265116301</v>
      </c>
      <c r="K31"/>
      <c r="L31">
        <f>VLOOKUP(A31, 'Table lookup_I1'!$A$2:$G$114, 2,  FALSE)</f>
        <v>223.2</v>
      </c>
      <c r="M31" t="str">
        <f>VLOOKUP(A31, 'Table lookup_I1'!$A$2:$G$114, 3,  FALSE)</f>
        <v>ng/µl</v>
      </c>
      <c r="N31">
        <f>VLOOKUP(A31, 'Table lookup_I1'!$A$2:$G$114, 4,  FALSE)</f>
        <v>2.12</v>
      </c>
      <c r="O31">
        <f>VLOOKUP(A31, 'Table lookup_I1'!$A$2:$G$114, 5,  FALSE)</f>
        <v>1.73</v>
      </c>
    </row>
    <row r="32" spans="1:15" s="10" customFormat="1" x14ac:dyDescent="0.2">
      <c r="A32" t="s">
        <v>138</v>
      </c>
      <c r="B32"/>
      <c r="C32"/>
      <c r="D32">
        <v>30.566692432761499</v>
      </c>
      <c r="E32"/>
      <c r="F32"/>
      <c r="G32"/>
      <c r="H32"/>
      <c r="I32">
        <v>30.424580055947398</v>
      </c>
      <c r="J32"/>
      <c r="K32"/>
      <c r="L32">
        <f>VLOOKUP(A32, 'Table lookup_I1'!$A$2:$G$114, 2,  FALSE)</f>
        <v>278.8</v>
      </c>
      <c r="M32" t="str">
        <f>VLOOKUP(A32, 'Table lookup_I1'!$A$2:$G$114, 3,  FALSE)</f>
        <v>ng/µl</v>
      </c>
      <c r="N32">
        <f>VLOOKUP(A32, 'Table lookup_I1'!$A$2:$G$114, 4,  FALSE)</f>
        <v>2.13</v>
      </c>
      <c r="O32">
        <f>VLOOKUP(A32, 'Table lookup_I1'!$A$2:$G$114, 5,  FALSE)</f>
        <v>0.77</v>
      </c>
    </row>
    <row r="33" spans="1:15" s="10" customFormat="1" x14ac:dyDescent="0.2">
      <c r="A33" t="s">
        <v>182</v>
      </c>
      <c r="B33"/>
      <c r="C33"/>
      <c r="D33">
        <v>30.164755376402798</v>
      </c>
      <c r="E33"/>
      <c r="F33"/>
      <c r="G33"/>
      <c r="H33"/>
      <c r="I33">
        <v>30.195642716974099</v>
      </c>
      <c r="J33"/>
      <c r="K33"/>
      <c r="L33">
        <f>VLOOKUP(A33, 'Table lookup_I1'!$A$2:$G$114, 2,  FALSE)</f>
        <v>213.3</v>
      </c>
      <c r="M33" t="str">
        <f>VLOOKUP(A33, 'Table lookup_I1'!$A$2:$G$114, 3,  FALSE)</f>
        <v>ng/µl</v>
      </c>
      <c r="N33">
        <f>VLOOKUP(A33, 'Table lookup_I1'!$A$2:$G$114, 4,  FALSE)</f>
        <v>2.11</v>
      </c>
      <c r="O33">
        <f>VLOOKUP(A33, 'Table lookup_I1'!$A$2:$G$114, 5,  FALSE)</f>
        <v>1.73</v>
      </c>
    </row>
    <row r="34" spans="1:15" s="10" customFormat="1" x14ac:dyDescent="0.2">
      <c r="A34" t="s">
        <v>156</v>
      </c>
      <c r="B34"/>
      <c r="C34"/>
      <c r="D34"/>
      <c r="E34"/>
      <c r="F34"/>
      <c r="G34"/>
      <c r="H34"/>
      <c r="I34">
        <v>30.494197899366299</v>
      </c>
      <c r="J34"/>
      <c r="K34"/>
      <c r="L34">
        <f>VLOOKUP(A34, 'Table lookup_I1'!$A$2:$G$114, 2,  FALSE)</f>
        <v>258.89999999999998</v>
      </c>
      <c r="M34" t="str">
        <f>VLOOKUP(A34, 'Table lookup_I1'!$A$2:$G$114, 3,  FALSE)</f>
        <v>ng/µl</v>
      </c>
      <c r="N34">
        <f>VLOOKUP(A34, 'Table lookup_I1'!$A$2:$G$114, 4,  FALSE)</f>
        <v>2.12</v>
      </c>
      <c r="O34">
        <f>VLOOKUP(A34, 'Table lookup_I1'!$A$2:$G$114, 5,  FALSE)</f>
        <v>0.62</v>
      </c>
    </row>
    <row r="35" spans="1:15" s="10" customFormat="1" x14ac:dyDescent="0.2">
      <c r="A35" t="s">
        <v>137</v>
      </c>
      <c r="B35"/>
      <c r="C35"/>
      <c r="D35">
        <v>30.413803236939501</v>
      </c>
      <c r="E35"/>
      <c r="F35"/>
      <c r="G35"/>
      <c r="H35"/>
      <c r="I35">
        <v>31.832477494920202</v>
      </c>
      <c r="J35"/>
      <c r="K35"/>
      <c r="L35">
        <f>VLOOKUP(A35, 'Table lookup_I1'!$A$2:$G$114, 2,  FALSE)</f>
        <v>151.80000000000001</v>
      </c>
      <c r="M35" t="str">
        <f>VLOOKUP(A35, 'Table lookup_I1'!$A$2:$G$114, 3,  FALSE)</f>
        <v>ng/µl</v>
      </c>
      <c r="N35">
        <f>VLOOKUP(A35, 'Table lookup_I1'!$A$2:$G$114, 4,  FALSE)</f>
        <v>2.08</v>
      </c>
      <c r="O35">
        <f>VLOOKUP(A35, 'Table lookup_I1'!$A$2:$G$114, 5,  FALSE)</f>
        <v>1.5</v>
      </c>
    </row>
    <row r="36" spans="1:15" s="10" customFormat="1" x14ac:dyDescent="0.2">
      <c r="A36" s="21" t="s">
        <v>181</v>
      </c>
      <c r="B36"/>
      <c r="C36"/>
      <c r="D36">
        <v>31.044838365441699</v>
      </c>
      <c r="E36">
        <v>30.5254472135368</v>
      </c>
      <c r="F36"/>
      <c r="G36"/>
      <c r="H36"/>
      <c r="I36">
        <v>33.130694352842603</v>
      </c>
      <c r="J36"/>
      <c r="K36">
        <v>30.998649728608601</v>
      </c>
      <c r="L36">
        <f>VLOOKUP(A36, 'Table lookup_I1'!$A$2:$G$114, 2,  FALSE)</f>
        <v>111.7</v>
      </c>
      <c r="M36" t="str">
        <f>VLOOKUP(A36, 'Table lookup_I1'!$A$2:$G$114, 3,  FALSE)</f>
        <v>ng/µl</v>
      </c>
      <c r="N36">
        <f>VLOOKUP(A36, 'Table lookup_I1'!$A$2:$G$114, 4,  FALSE)</f>
        <v>2.0299999999999998</v>
      </c>
      <c r="O36">
        <f>VLOOKUP(A36, 'Table lookup_I1'!$A$2:$G$114, 5,  FALSE)</f>
        <v>0.84</v>
      </c>
    </row>
    <row r="37" spans="1:15" s="10" customFormat="1" x14ac:dyDescent="0.2">
      <c r="A37" t="s">
        <v>155</v>
      </c>
      <c r="B37"/>
      <c r="C37"/>
      <c r="D37">
        <v>30.3232561162338</v>
      </c>
      <c r="E37"/>
      <c r="F37"/>
      <c r="G37"/>
      <c r="H37"/>
      <c r="I37">
        <v>31.9079647009792</v>
      </c>
      <c r="J37"/>
      <c r="K37">
        <v>30.0558414577796</v>
      </c>
      <c r="L37">
        <f>VLOOKUP(A37, 'Table lookup_I1'!$A$2:$G$114, 2,  FALSE)</f>
        <v>158.69999999999999</v>
      </c>
      <c r="M37" t="str">
        <f>VLOOKUP(A37, 'Table lookup_I1'!$A$2:$G$114, 3,  FALSE)</f>
        <v>ng/µl</v>
      </c>
      <c r="N37">
        <f>VLOOKUP(A37, 'Table lookup_I1'!$A$2:$G$114, 4,  FALSE)</f>
        <v>2.11</v>
      </c>
      <c r="O37">
        <f>VLOOKUP(A37, 'Table lookup_I1'!$A$2:$G$114, 5,  FALSE)</f>
        <v>0.53</v>
      </c>
    </row>
    <row r="38" spans="1:15" s="10" customFormat="1" x14ac:dyDescent="0.2">
      <c r="A38" s="21" t="s">
        <v>136</v>
      </c>
      <c r="B38"/>
      <c r="C38"/>
      <c r="D38">
        <v>31.151700634979399</v>
      </c>
      <c r="E38"/>
      <c r="F38"/>
      <c r="G38">
        <v>30.660207546608301</v>
      </c>
      <c r="H38"/>
      <c r="I38">
        <v>32.509215637100297</v>
      </c>
      <c r="J38"/>
      <c r="K38"/>
      <c r="L38">
        <f>VLOOKUP(A38, 'Table lookup_I1'!$A$2:$G$114, 2,  FALSE)</f>
        <v>234.4</v>
      </c>
      <c r="M38" t="str">
        <f>VLOOKUP(A38, 'Table lookup_I1'!$A$2:$G$114, 3,  FALSE)</f>
        <v>ng/µl</v>
      </c>
      <c r="N38">
        <f>VLOOKUP(A38, 'Table lookup_I1'!$A$2:$G$114, 4,  FALSE)</f>
        <v>2.08</v>
      </c>
      <c r="O38">
        <f>VLOOKUP(A38, 'Table lookup_I1'!$A$2:$G$114, 5,  FALSE)</f>
        <v>1.25</v>
      </c>
    </row>
    <row r="39" spans="1:15" s="10" customFormat="1" x14ac:dyDescent="0.2">
      <c r="A39" s="21" t="s">
        <v>180</v>
      </c>
      <c r="B39"/>
      <c r="C39"/>
      <c r="D39">
        <v>31.722340895649999</v>
      </c>
      <c r="E39"/>
      <c r="F39"/>
      <c r="G39">
        <v>31.010499292545902</v>
      </c>
      <c r="H39"/>
      <c r="I39">
        <v>34.266647781270699</v>
      </c>
      <c r="J39"/>
      <c r="K39"/>
      <c r="L39">
        <f>VLOOKUP(A39, 'Table lookup_I1'!$A$2:$G$114, 2,  FALSE)</f>
        <v>172.3</v>
      </c>
      <c r="M39" t="str">
        <f>VLOOKUP(A39, 'Table lookup_I1'!$A$2:$G$114, 3,  FALSE)</f>
        <v>ng/µl</v>
      </c>
      <c r="N39">
        <f>VLOOKUP(A39, 'Table lookup_I1'!$A$2:$G$114, 4,  FALSE)</f>
        <v>2.13</v>
      </c>
      <c r="O39">
        <f>VLOOKUP(A39, 'Table lookup_I1'!$A$2:$G$114, 5,  FALSE)</f>
        <v>2.12</v>
      </c>
    </row>
    <row r="40" spans="1:15" s="10" customFormat="1" x14ac:dyDescent="0.2">
      <c r="A40" s="21" t="s">
        <v>154</v>
      </c>
      <c r="B40"/>
      <c r="C40"/>
      <c r="D40">
        <v>30.640603327971299</v>
      </c>
      <c r="E40"/>
      <c r="F40"/>
      <c r="G40">
        <v>30.286943668878301</v>
      </c>
      <c r="H40"/>
      <c r="I40">
        <v>32.521424077049403</v>
      </c>
      <c r="J40"/>
      <c r="K40"/>
      <c r="L40">
        <f>VLOOKUP(A40, 'Table lookup_I1'!$A$2:$G$114, 2,  FALSE)</f>
        <v>90.1</v>
      </c>
      <c r="M40" t="str">
        <f>VLOOKUP(A40, 'Table lookup_I1'!$A$2:$G$114, 3,  FALSE)</f>
        <v>ng/µl</v>
      </c>
      <c r="N40">
        <f>VLOOKUP(A40, 'Table lookup_I1'!$A$2:$G$114, 4,  FALSE)</f>
        <v>2.1</v>
      </c>
      <c r="O40">
        <f>VLOOKUP(A40, 'Table lookup_I1'!$A$2:$G$114, 5,  FALSE)</f>
        <v>0.53</v>
      </c>
    </row>
    <row r="41" spans="1:15" s="10" customFormat="1" x14ac:dyDescent="0.2">
      <c r="A41" s="21" t="s">
        <v>135</v>
      </c>
      <c r="B41"/>
      <c r="C41"/>
      <c r="D41">
        <v>33.5253031139504</v>
      </c>
      <c r="E41"/>
      <c r="F41"/>
      <c r="G41">
        <v>33.154640506562799</v>
      </c>
      <c r="H41">
        <v>32.275746461729803</v>
      </c>
      <c r="I41">
        <v>35.379026152301897</v>
      </c>
      <c r="J41"/>
      <c r="K41"/>
      <c r="L41">
        <f>VLOOKUP(A41, 'Table lookup_I1'!$A$2:$G$114, 2,  FALSE)</f>
        <v>174.9</v>
      </c>
      <c r="M41" t="str">
        <f>VLOOKUP(A41, 'Table lookup_I1'!$A$2:$G$114, 3,  FALSE)</f>
        <v>ng/µl</v>
      </c>
      <c r="N41">
        <f>VLOOKUP(A41, 'Table lookup_I1'!$A$2:$G$114, 4,  FALSE)</f>
        <v>2.08</v>
      </c>
      <c r="O41">
        <f>VLOOKUP(A41, 'Table lookup_I1'!$A$2:$G$114, 5,  FALSE)</f>
        <v>1.32</v>
      </c>
    </row>
    <row r="42" spans="1:15" s="10" customFormat="1" x14ac:dyDescent="0.2">
      <c r="A42" s="21" t="s">
        <v>179</v>
      </c>
      <c r="B42"/>
      <c r="C42"/>
      <c r="D42">
        <v>33.200939825483502</v>
      </c>
      <c r="E42"/>
      <c r="F42"/>
      <c r="G42">
        <v>32.786716513645302</v>
      </c>
      <c r="H42">
        <v>31.3682474081347</v>
      </c>
      <c r="I42">
        <v>35.934719173428498</v>
      </c>
      <c r="J42"/>
      <c r="K42"/>
      <c r="L42">
        <f>VLOOKUP(A42, 'Table lookup_I1'!$A$2:$G$114, 2,  FALSE)</f>
        <v>158.80000000000001</v>
      </c>
      <c r="M42" t="str">
        <f>VLOOKUP(A42, 'Table lookup_I1'!$A$2:$G$114, 3,  FALSE)</f>
        <v>ng/µl</v>
      </c>
      <c r="N42">
        <f>VLOOKUP(A42, 'Table lookup_I1'!$A$2:$G$114, 4,  FALSE)</f>
        <v>2.08</v>
      </c>
      <c r="O42">
        <f>VLOOKUP(A42, 'Table lookup_I1'!$A$2:$G$114, 5,  FALSE)</f>
        <v>1.81</v>
      </c>
    </row>
    <row r="43" spans="1:15" s="10" customFormat="1" x14ac:dyDescent="0.2">
      <c r="A43" t="s">
        <v>178</v>
      </c>
      <c r="B43"/>
      <c r="C43"/>
      <c r="D43">
        <v>30.858374125436502</v>
      </c>
      <c r="E43"/>
      <c r="F43"/>
      <c r="G43"/>
      <c r="H43"/>
      <c r="I43">
        <v>31.6922983129428</v>
      </c>
      <c r="J43"/>
      <c r="K43"/>
      <c r="L43">
        <f>VLOOKUP(A43, 'Table lookup_I1'!$A$2:$G$114, 2,  FALSE)</f>
        <v>76.5</v>
      </c>
      <c r="M43" t="str">
        <f>VLOOKUP(A43, 'Table lookup_I1'!$A$2:$G$114, 3,  FALSE)</f>
        <v>ng/µl</v>
      </c>
      <c r="N43">
        <f>VLOOKUP(A43, 'Table lookup_I1'!$A$2:$G$114, 4,  FALSE)</f>
        <v>2.04</v>
      </c>
      <c r="O43">
        <f>VLOOKUP(A43, 'Table lookup_I1'!$A$2:$G$114, 5,  FALSE)</f>
        <v>0.42</v>
      </c>
    </row>
    <row r="44" spans="1:15" s="10" customFormat="1" x14ac:dyDescent="0.2">
      <c r="A44" t="s">
        <v>177</v>
      </c>
      <c r="B44"/>
      <c r="C44"/>
      <c r="D44">
        <v>31.624514583224201</v>
      </c>
      <c r="E44"/>
      <c r="F44"/>
      <c r="G44"/>
      <c r="H44"/>
      <c r="I44">
        <v>31.0450275469552</v>
      </c>
      <c r="J44"/>
      <c r="K44"/>
      <c r="L44">
        <f>VLOOKUP(A44, 'Table lookup_I1'!$A$2:$G$114, 2,  FALSE)</f>
        <v>109.7</v>
      </c>
      <c r="M44" t="str">
        <f>VLOOKUP(A44, 'Table lookup_I1'!$A$2:$G$114, 3,  FALSE)</f>
        <v>ng/µl</v>
      </c>
      <c r="N44">
        <f>VLOOKUP(A44, 'Table lookup_I1'!$A$2:$G$114, 4,  FALSE)</f>
        <v>2.12</v>
      </c>
      <c r="O44">
        <f>VLOOKUP(A44, 'Table lookup_I1'!$A$2:$G$114, 5,  FALSE)</f>
        <v>0.57999999999999996</v>
      </c>
    </row>
    <row r="45" spans="1:15" s="10" customFormat="1" x14ac:dyDescent="0.2">
      <c r="A45" s="21" t="s">
        <v>152</v>
      </c>
      <c r="B45"/>
      <c r="C45"/>
      <c r="D45">
        <v>31.025491307121701</v>
      </c>
      <c r="E45">
        <v>30.0363517782251</v>
      </c>
      <c r="F45"/>
      <c r="G45"/>
      <c r="H45"/>
      <c r="I45">
        <v>31.118920535245898</v>
      </c>
      <c r="J45"/>
      <c r="K45"/>
      <c r="L45">
        <f>VLOOKUP(A45, 'Table lookup_I1'!$A$2:$G$114, 2,  FALSE)</f>
        <v>155.6</v>
      </c>
      <c r="M45" t="str">
        <f>VLOOKUP(A45, 'Table lookup_I1'!$A$2:$G$114, 3,  FALSE)</f>
        <v>ng/µl</v>
      </c>
      <c r="N45">
        <f>VLOOKUP(A45, 'Table lookup_I1'!$A$2:$G$114, 4,  FALSE)</f>
        <v>2.08</v>
      </c>
      <c r="O45">
        <f>VLOOKUP(A45, 'Table lookup_I1'!$A$2:$G$114, 5,  FALSE)</f>
        <v>1.24</v>
      </c>
    </row>
    <row r="46" spans="1:15" s="10" customFormat="1" x14ac:dyDescent="0.2">
      <c r="A46" s="21" t="s">
        <v>132</v>
      </c>
      <c r="B46"/>
      <c r="C46"/>
      <c r="D46">
        <v>30.779054260181798</v>
      </c>
      <c r="E46"/>
      <c r="F46"/>
      <c r="G46">
        <v>32.447411237644602</v>
      </c>
      <c r="H46"/>
      <c r="I46">
        <v>32.8133999675346</v>
      </c>
      <c r="J46"/>
      <c r="K46"/>
      <c r="L46">
        <f>VLOOKUP(A46, 'Table lookup_I1'!$A$2:$G$114, 2,  FALSE)</f>
        <v>392.9</v>
      </c>
      <c r="M46" t="str">
        <f>VLOOKUP(A46, 'Table lookup_I1'!$A$2:$G$114, 3,  FALSE)</f>
        <v>ng/µl</v>
      </c>
      <c r="N46">
        <f>VLOOKUP(A46, 'Table lookup_I1'!$A$2:$G$114, 4,  FALSE)</f>
        <v>2.04</v>
      </c>
      <c r="O46">
        <f>VLOOKUP(A46, 'Table lookup_I1'!$A$2:$G$114, 5,  FALSE)</f>
        <v>1.72</v>
      </c>
    </row>
    <row r="47" spans="1:15" s="10" customFormat="1" x14ac:dyDescent="0.2">
      <c r="A47" t="s">
        <v>176</v>
      </c>
      <c r="B47"/>
      <c r="C47"/>
      <c r="D47"/>
      <c r="E47"/>
      <c r="F47"/>
      <c r="G47"/>
      <c r="H47"/>
      <c r="I47">
        <v>31.5133057227881</v>
      </c>
      <c r="J47"/>
      <c r="K47"/>
      <c r="L47">
        <f>VLOOKUP(A47, 'Table lookup_I1'!$A$2:$G$114, 2,  FALSE)</f>
        <v>90.7</v>
      </c>
      <c r="M47" t="str">
        <f>VLOOKUP(A47, 'Table lookup_I1'!$A$2:$G$114, 3,  FALSE)</f>
        <v>ng/µl</v>
      </c>
      <c r="N47">
        <f>VLOOKUP(A47, 'Table lookup_I1'!$A$2:$G$114, 4,  FALSE)</f>
        <v>1.35</v>
      </c>
      <c r="O47">
        <f>VLOOKUP(A47, 'Table lookup_I1'!$A$2:$G$114, 5,  FALSE)</f>
        <v>0.8</v>
      </c>
    </row>
    <row r="48" spans="1:15" s="10" customFormat="1" x14ac:dyDescent="0.2">
      <c r="A48" s="21" t="s">
        <v>131</v>
      </c>
      <c r="B48"/>
      <c r="C48"/>
      <c r="D48">
        <v>32.074297730149603</v>
      </c>
      <c r="E48"/>
      <c r="F48"/>
      <c r="G48">
        <v>31.4579091296734</v>
      </c>
      <c r="H48">
        <v>31.5950230681253</v>
      </c>
      <c r="I48">
        <v>31.296995499601799</v>
      </c>
      <c r="J48"/>
      <c r="K48"/>
      <c r="L48">
        <f>VLOOKUP(A48, 'Table lookup_I1'!$A$2:$G$114, 2,  FALSE)</f>
        <v>156</v>
      </c>
      <c r="M48" t="str">
        <f>VLOOKUP(A48, 'Table lookup_I1'!$A$2:$G$114, 3,  FALSE)</f>
        <v>ng/µl</v>
      </c>
      <c r="N48">
        <f>VLOOKUP(A48, 'Table lookup_I1'!$A$2:$G$114, 4,  FALSE)</f>
        <v>1.6</v>
      </c>
      <c r="O48">
        <f>VLOOKUP(A48, 'Table lookup_I1'!$A$2:$G$114, 5,  FALSE)</f>
        <v>0.87</v>
      </c>
    </row>
    <row r="49" spans="1:15" s="10" customFormat="1" x14ac:dyDescent="0.2">
      <c r="A49" s="21" t="s">
        <v>175</v>
      </c>
      <c r="B49"/>
      <c r="C49"/>
      <c r="D49">
        <v>32.032216058829697</v>
      </c>
      <c r="E49"/>
      <c r="F49"/>
      <c r="G49">
        <v>31.367064540726499</v>
      </c>
      <c r="H49"/>
      <c r="I49">
        <v>32.648733382138197</v>
      </c>
      <c r="J49"/>
      <c r="K49"/>
      <c r="L49">
        <f>VLOOKUP(A49, 'Table lookup_I1'!$A$2:$G$114, 2,  FALSE)</f>
        <v>262.7</v>
      </c>
      <c r="M49" t="str">
        <f>VLOOKUP(A49, 'Table lookup_I1'!$A$2:$G$114, 3,  FALSE)</f>
        <v>ng/µl</v>
      </c>
      <c r="N49">
        <f>VLOOKUP(A49, 'Table lookup_I1'!$A$2:$G$114, 4,  FALSE)</f>
        <v>2.21</v>
      </c>
      <c r="O49">
        <f>VLOOKUP(A49, 'Table lookup_I1'!$A$2:$G$114, 5,  FALSE)</f>
        <v>2.31</v>
      </c>
    </row>
    <row r="50" spans="1:15" s="10" customFormat="1" x14ac:dyDescent="0.2">
      <c r="A50" t="s">
        <v>130</v>
      </c>
      <c r="B50"/>
      <c r="C50"/>
      <c r="D50">
        <v>30.7204674591006</v>
      </c>
      <c r="E50"/>
      <c r="F50"/>
      <c r="G50"/>
      <c r="H50"/>
      <c r="I50"/>
      <c r="J50"/>
      <c r="K50"/>
      <c r="L50">
        <f>VLOOKUP(A50, 'Table lookup_I1'!$A$2:$G$114, 2,  FALSE)</f>
        <v>82.4</v>
      </c>
      <c r="M50" t="str">
        <f>VLOOKUP(A50, 'Table lookup_I1'!$A$2:$G$114, 3,  FALSE)</f>
        <v>ng/µl</v>
      </c>
      <c r="N50">
        <f>VLOOKUP(A50, 'Table lookup_I1'!$A$2:$G$114, 4,  FALSE)</f>
        <v>2.36</v>
      </c>
      <c r="O50">
        <f>VLOOKUP(A50, 'Table lookup_I1'!$A$2:$G$114, 5,  FALSE)</f>
        <v>1.22</v>
      </c>
    </row>
    <row r="51" spans="1:15" s="10" customFormat="1" x14ac:dyDescent="0.2">
      <c r="A51" t="s">
        <v>200</v>
      </c>
      <c r="B51"/>
      <c r="C51"/>
      <c r="D51">
        <v>31.6907754586463</v>
      </c>
      <c r="E51"/>
      <c r="F51"/>
      <c r="G51"/>
      <c r="H51"/>
      <c r="I51"/>
      <c r="J51"/>
      <c r="K51"/>
      <c r="L51">
        <f>VLOOKUP(A51, 'Table lookup_I1'!$A$2:$G$114, 2,  FALSE)</f>
        <v>183.1</v>
      </c>
      <c r="M51" t="str">
        <f>VLOOKUP(A51, 'Table lookup_I1'!$A$2:$G$114, 3,  FALSE)</f>
        <v>ng/µl</v>
      </c>
      <c r="N51">
        <f>VLOOKUP(A51, 'Table lookup_I1'!$A$2:$G$114, 4,  FALSE)</f>
        <v>2.2200000000000002</v>
      </c>
      <c r="O51">
        <f>VLOOKUP(A51, 'Table lookup_I1'!$A$2:$G$114, 5,  FALSE)</f>
        <v>2.13</v>
      </c>
    </row>
    <row r="52" spans="1:15" s="10" customFormat="1" x14ac:dyDescent="0.2">
      <c r="A52" t="s">
        <v>174</v>
      </c>
      <c r="B52"/>
      <c r="C52"/>
      <c r="D52">
        <v>31.8484320870954</v>
      </c>
      <c r="E52"/>
      <c r="F52"/>
      <c r="G52"/>
      <c r="H52"/>
      <c r="I52"/>
      <c r="J52"/>
      <c r="K52"/>
      <c r="L52">
        <f>VLOOKUP(A52, 'Table lookup_I1'!$A$2:$G$114, 2,  FALSE)</f>
        <v>177.8</v>
      </c>
      <c r="M52" t="str">
        <f>VLOOKUP(A52, 'Table lookup_I1'!$A$2:$G$114, 3,  FALSE)</f>
        <v>ng/µl</v>
      </c>
      <c r="N52">
        <f>VLOOKUP(A52, 'Table lookup_I1'!$A$2:$G$114, 4,  FALSE)</f>
        <v>2.2799999999999998</v>
      </c>
      <c r="O52">
        <f>VLOOKUP(A52, 'Table lookup_I1'!$A$2:$G$114, 5,  FALSE)</f>
        <v>1.8</v>
      </c>
    </row>
    <row r="53" spans="1:15" s="10" customFormat="1" x14ac:dyDescent="0.2">
      <c r="A53" t="s">
        <v>129</v>
      </c>
      <c r="B53"/>
      <c r="C53"/>
      <c r="D53">
        <v>32.213527715211498</v>
      </c>
      <c r="E53"/>
      <c r="F53"/>
      <c r="G53"/>
      <c r="H53"/>
      <c r="I53"/>
      <c r="J53"/>
      <c r="K53"/>
      <c r="L53">
        <f>VLOOKUP(A53, 'Table lookup_I1'!$A$2:$G$114, 2,  FALSE)</f>
        <v>306.10000000000002</v>
      </c>
      <c r="M53" t="str">
        <f>VLOOKUP(A53, 'Table lookup_I1'!$A$2:$G$114, 3,  FALSE)</f>
        <v>ng/µl</v>
      </c>
      <c r="N53">
        <f>VLOOKUP(A53, 'Table lookup_I1'!$A$2:$G$114, 4,  FALSE)</f>
        <v>1.85</v>
      </c>
      <c r="O53">
        <f>VLOOKUP(A53, 'Table lookup_I1'!$A$2:$G$114, 5,  FALSE)</f>
        <v>1.72</v>
      </c>
    </row>
    <row r="54" spans="1:15" s="10" customFormat="1" x14ac:dyDescent="0.2">
      <c r="A54" t="s">
        <v>173</v>
      </c>
      <c r="B54"/>
      <c r="C54"/>
      <c r="D54" s="10">
        <v>30.857177945045901</v>
      </c>
      <c r="E54"/>
      <c r="F54"/>
      <c r="G54"/>
      <c r="H54"/>
      <c r="I54"/>
      <c r="J54"/>
      <c r="K54"/>
      <c r="L54">
        <f>VLOOKUP(A54, 'Table lookup_I1'!$A$2:$G$114, 2,  FALSE)</f>
        <v>66.5</v>
      </c>
      <c r="M54" t="str">
        <f>VLOOKUP(A54, 'Table lookup_I1'!$A$2:$G$114, 3,  FALSE)</f>
        <v>ng/µl</v>
      </c>
      <c r="N54">
        <f>VLOOKUP(A54, 'Table lookup_I1'!$A$2:$G$114, 4,  FALSE)</f>
        <v>2.17</v>
      </c>
      <c r="O54">
        <f>VLOOKUP(A54, 'Table lookup_I1'!$A$2:$G$114, 5,  FALSE)</f>
        <v>2.86</v>
      </c>
    </row>
    <row r="55" spans="1:15" s="10" customFormat="1" x14ac:dyDescent="0.2">
      <c r="A55" t="s">
        <v>227</v>
      </c>
      <c r="B55"/>
      <c r="C55"/>
      <c r="D55"/>
      <c r="E55"/>
      <c r="F55"/>
      <c r="G55"/>
      <c r="H55"/>
      <c r="I55"/>
      <c r="J55">
        <v>32.990260099120803</v>
      </c>
      <c r="K55"/>
      <c r="L55">
        <f>VLOOKUP(A55, 'Table lookup_I1'!$A$2:$G$114, 2,  FALSE)</f>
        <v>377.3</v>
      </c>
      <c r="M55" t="str">
        <f>VLOOKUP(A55, 'Table lookup_I1'!$A$2:$G$114, 3,  FALSE)</f>
        <v>ng/µl</v>
      </c>
      <c r="N55">
        <f>VLOOKUP(A55, 'Table lookup_I1'!$A$2:$G$114, 4,  FALSE)</f>
        <v>2.15</v>
      </c>
      <c r="O55">
        <f>VLOOKUP(A55, 'Table lookup_I1'!$A$2:$G$114, 5,  FALSE)</f>
        <v>1.47</v>
      </c>
    </row>
    <row r="56" spans="1:15" s="10" customFormat="1" x14ac:dyDescent="0.2">
      <c r="A56" t="s">
        <v>226</v>
      </c>
      <c r="B56"/>
      <c r="C56"/>
      <c r="D56"/>
      <c r="E56"/>
      <c r="F56"/>
      <c r="G56"/>
      <c r="H56"/>
      <c r="I56"/>
      <c r="J56">
        <v>32.108169059645903</v>
      </c>
      <c r="K56"/>
      <c r="L56">
        <f>VLOOKUP(A56, 'Table lookup_I1'!$A$2:$G$114, 2,  FALSE)</f>
        <v>391.8</v>
      </c>
      <c r="M56" t="str">
        <f>VLOOKUP(A56, 'Table lookup_I1'!$A$2:$G$114, 3,  FALSE)</f>
        <v>ng/µl</v>
      </c>
      <c r="N56">
        <f>VLOOKUP(A56, 'Table lookup_I1'!$A$2:$G$114, 4,  FALSE)</f>
        <v>2.14</v>
      </c>
      <c r="O56">
        <f>VLOOKUP(A56, 'Table lookup_I1'!$A$2:$G$114, 5,  FALSE)</f>
        <v>2.15</v>
      </c>
    </row>
    <row r="57" spans="1:15" s="10" customFormat="1" x14ac:dyDescent="0.2">
      <c r="A57" t="s">
        <v>172</v>
      </c>
      <c r="B57"/>
      <c r="C57"/>
      <c r="D57"/>
      <c r="E57">
        <v>30.113576098709299</v>
      </c>
      <c r="F57"/>
      <c r="G57"/>
      <c r="H57"/>
      <c r="I57"/>
      <c r="J57">
        <v>31.568694452760202</v>
      </c>
      <c r="K57"/>
      <c r="L57">
        <f>VLOOKUP(A57, 'Table lookup_I1'!$A$2:$G$114, 2,  FALSE)</f>
        <v>221.5</v>
      </c>
      <c r="M57" t="str">
        <f>VLOOKUP(A57, 'Table lookup_I1'!$A$2:$G$114, 3,  FALSE)</f>
        <v>ng/µl</v>
      </c>
      <c r="N57">
        <f>VLOOKUP(A57, 'Table lookup_I1'!$A$2:$G$114, 4,  FALSE)</f>
        <v>2.14</v>
      </c>
      <c r="O57">
        <f>VLOOKUP(A57, 'Table lookup_I1'!$A$2:$G$114, 5,  FALSE)</f>
        <v>0.79</v>
      </c>
    </row>
    <row r="58" spans="1:15" s="10" customFormat="1" x14ac:dyDescent="0.2">
      <c r="A58" t="s">
        <v>225</v>
      </c>
      <c r="B58"/>
      <c r="C58"/>
      <c r="D58"/>
      <c r="E58"/>
      <c r="F58"/>
      <c r="G58"/>
      <c r="H58"/>
      <c r="I58"/>
      <c r="J58">
        <v>30.545263382945802</v>
      </c>
      <c r="K58"/>
      <c r="L58">
        <f>VLOOKUP(A58, 'Table lookup_I1'!$A$2:$G$114, 2,  FALSE)</f>
        <v>221.2</v>
      </c>
      <c r="M58" t="str">
        <f>VLOOKUP(A58, 'Table lookup_I1'!$A$2:$G$114, 3,  FALSE)</f>
        <v>ng/µl</v>
      </c>
      <c r="N58">
        <f>VLOOKUP(A58, 'Table lookup_I1'!$A$2:$G$114, 4,  FALSE)</f>
        <v>2.12</v>
      </c>
      <c r="O58">
        <f>VLOOKUP(A58, 'Table lookup_I1'!$A$2:$G$114, 5,  FALSE)</f>
        <v>1.91</v>
      </c>
    </row>
    <row r="59" spans="1:15" s="10" customFormat="1" x14ac:dyDescent="0.2">
      <c r="A59" t="s">
        <v>128</v>
      </c>
      <c r="B59"/>
      <c r="C59"/>
      <c r="D59"/>
      <c r="E59"/>
      <c r="F59"/>
      <c r="G59"/>
      <c r="H59"/>
      <c r="I59">
        <v>31.057156743321801</v>
      </c>
      <c r="J59">
        <v>32.400003201738102</v>
      </c>
      <c r="K59"/>
      <c r="L59">
        <f>VLOOKUP(A59, 'Table lookup_I1'!$A$2:$G$114, 2,  FALSE)</f>
        <v>261.10000000000002</v>
      </c>
      <c r="M59" t="str">
        <f>VLOOKUP(A59, 'Table lookup_I1'!$A$2:$G$114, 3,  FALSE)</f>
        <v>ng/µl</v>
      </c>
      <c r="N59">
        <f>VLOOKUP(A59, 'Table lookup_I1'!$A$2:$G$114, 4,  FALSE)</f>
        <v>2.02</v>
      </c>
      <c r="O59">
        <f>VLOOKUP(A59, 'Table lookup_I1'!$A$2:$G$114, 5,  FALSE)</f>
        <v>1.52</v>
      </c>
    </row>
    <row r="60" spans="1:15" s="10" customFormat="1" x14ac:dyDescent="0.2">
      <c r="A60" t="s">
        <v>199</v>
      </c>
      <c r="B60"/>
      <c r="C60"/>
      <c r="D60"/>
      <c r="E60"/>
      <c r="F60"/>
      <c r="G60"/>
      <c r="H60"/>
      <c r="I60">
        <v>30.309056409730498</v>
      </c>
      <c r="J60">
        <v>31.021320166019098</v>
      </c>
      <c r="K60"/>
      <c r="L60">
        <f>VLOOKUP(A60, 'Table lookup_I1'!$A$2:$G$114, 2,  FALSE)</f>
        <v>422.7</v>
      </c>
      <c r="M60" t="str">
        <f>VLOOKUP(A60, 'Table lookup_I1'!$A$2:$G$114, 3,  FALSE)</f>
        <v>ng/µl</v>
      </c>
      <c r="N60">
        <f>VLOOKUP(A60, 'Table lookup_I1'!$A$2:$G$114, 4,  FALSE)</f>
        <v>2.15</v>
      </c>
      <c r="O60">
        <f>VLOOKUP(A60, 'Table lookup_I1'!$A$2:$G$114, 5,  FALSE)</f>
        <v>2.0099999999999998</v>
      </c>
    </row>
    <row r="61" spans="1:15" s="10" customFormat="1" x14ac:dyDescent="0.2">
      <c r="A61" t="s">
        <v>171</v>
      </c>
      <c r="B61"/>
      <c r="C61"/>
      <c r="D61"/>
      <c r="E61"/>
      <c r="F61"/>
      <c r="G61"/>
      <c r="H61"/>
      <c r="I61">
        <v>31.3254742108962</v>
      </c>
      <c r="J61">
        <v>31.246989974771601</v>
      </c>
      <c r="K61"/>
      <c r="L61">
        <f>VLOOKUP(A61, 'Table lookup_I1'!$A$2:$G$114, 2,  FALSE)</f>
        <v>222.3</v>
      </c>
      <c r="M61" t="str">
        <f>VLOOKUP(A61, 'Table lookup_I1'!$A$2:$G$114, 3,  FALSE)</f>
        <v>ng/µl</v>
      </c>
      <c r="N61">
        <f>VLOOKUP(A61, 'Table lookup_I1'!$A$2:$G$114, 4,  FALSE)</f>
        <v>1.86</v>
      </c>
      <c r="O61">
        <f>VLOOKUP(A61, 'Table lookup_I1'!$A$2:$G$114, 5,  FALSE)</f>
        <v>1.42</v>
      </c>
    </row>
    <row r="62" spans="1:15" s="10" customFormat="1" x14ac:dyDescent="0.2">
      <c r="A62" t="s">
        <v>127</v>
      </c>
      <c r="B62"/>
      <c r="C62"/>
      <c r="D62"/>
      <c r="E62"/>
      <c r="F62"/>
      <c r="G62"/>
      <c r="H62"/>
      <c r="I62">
        <v>31.478917624859299</v>
      </c>
      <c r="J62"/>
      <c r="K62"/>
      <c r="L62">
        <f>VLOOKUP(A62, 'Table lookup_I1'!$A$2:$G$114, 2,  FALSE)</f>
        <v>334.4</v>
      </c>
      <c r="M62" t="str">
        <f>VLOOKUP(A62, 'Table lookup_I1'!$A$2:$G$114, 3,  FALSE)</f>
        <v>ng/µl</v>
      </c>
      <c r="N62">
        <f>VLOOKUP(A62, 'Table lookup_I1'!$A$2:$G$114, 4,  FALSE)</f>
        <v>2.14</v>
      </c>
      <c r="O62">
        <f>VLOOKUP(A62, 'Table lookup_I1'!$A$2:$G$114, 5,  FALSE)</f>
        <v>1.92</v>
      </c>
    </row>
    <row r="63" spans="1:15" s="10" customFormat="1" x14ac:dyDescent="0.2">
      <c r="A63" t="s">
        <v>198</v>
      </c>
      <c r="B63"/>
      <c r="C63"/>
      <c r="D63">
        <v>30.343250043297701</v>
      </c>
      <c r="E63"/>
      <c r="F63"/>
      <c r="G63"/>
      <c r="H63"/>
      <c r="I63">
        <v>32.3098182764572</v>
      </c>
      <c r="J63"/>
      <c r="K63"/>
      <c r="L63">
        <f>VLOOKUP(A63, 'Table lookup_I1'!$A$2:$G$114, 2,  FALSE)</f>
        <v>263</v>
      </c>
      <c r="M63" t="str">
        <f>VLOOKUP(A63, 'Table lookup_I1'!$A$2:$G$114, 3,  FALSE)</f>
        <v>ng/µl</v>
      </c>
      <c r="N63">
        <f>VLOOKUP(A63, 'Table lookup_I1'!$A$2:$G$114, 4,  FALSE)</f>
        <v>2.14</v>
      </c>
      <c r="O63">
        <f>VLOOKUP(A63, 'Table lookup_I1'!$A$2:$G$114, 5,  FALSE)</f>
        <v>1.86</v>
      </c>
    </row>
    <row r="64" spans="1:15" s="10" customFormat="1" x14ac:dyDescent="0.2">
      <c r="A64" t="s">
        <v>170</v>
      </c>
      <c r="B64"/>
      <c r="C64"/>
      <c r="D64"/>
      <c r="E64"/>
      <c r="F64"/>
      <c r="G64"/>
      <c r="H64"/>
      <c r="I64">
        <v>32.883533630199402</v>
      </c>
      <c r="J64"/>
      <c r="K64"/>
      <c r="L64">
        <f>VLOOKUP(A64, 'Table lookup_I1'!$A$2:$G$114, 2,  FALSE)</f>
        <v>235.8</v>
      </c>
      <c r="M64" t="str">
        <f>VLOOKUP(A64, 'Table lookup_I1'!$A$2:$G$114, 3,  FALSE)</f>
        <v>ng/µl</v>
      </c>
      <c r="N64">
        <f>VLOOKUP(A64, 'Table lookup_I1'!$A$2:$G$114, 4,  FALSE)</f>
        <v>2.11</v>
      </c>
      <c r="O64">
        <f>VLOOKUP(A64, 'Table lookup_I1'!$A$2:$G$114, 5,  FALSE)</f>
        <v>2.04</v>
      </c>
    </row>
    <row r="65" spans="1:15" s="10" customFormat="1" x14ac:dyDescent="0.2">
      <c r="A65" s="21" t="s">
        <v>126</v>
      </c>
      <c r="B65"/>
      <c r="C65"/>
      <c r="D65">
        <v>30.5786818033312</v>
      </c>
      <c r="E65"/>
      <c r="F65"/>
      <c r="G65">
        <v>30.822377090975699</v>
      </c>
      <c r="H65"/>
      <c r="I65">
        <v>33.439231135603698</v>
      </c>
      <c r="J65"/>
      <c r="K65"/>
      <c r="L65">
        <f>VLOOKUP(A65, 'Table lookup_I1'!$A$2:$G$114, 2,  FALSE)</f>
        <v>303.2</v>
      </c>
      <c r="M65" t="str">
        <f>VLOOKUP(A65, 'Table lookup_I1'!$A$2:$G$114, 3,  FALSE)</f>
        <v>ng/µl</v>
      </c>
      <c r="N65">
        <f>VLOOKUP(A65, 'Table lookup_I1'!$A$2:$G$114, 4,  FALSE)</f>
        <v>2.13</v>
      </c>
      <c r="O65">
        <f>VLOOKUP(A65, 'Table lookup_I1'!$A$2:$G$114, 5,  FALSE)</f>
        <v>2.23</v>
      </c>
    </row>
    <row r="66" spans="1:15" s="10" customFormat="1" x14ac:dyDescent="0.2">
      <c r="A66" t="s">
        <v>197</v>
      </c>
      <c r="B66"/>
      <c r="C66"/>
      <c r="D66"/>
      <c r="E66"/>
      <c r="F66"/>
      <c r="G66">
        <v>30.746308648531599</v>
      </c>
      <c r="H66"/>
      <c r="I66">
        <v>34.233305920268101</v>
      </c>
      <c r="J66"/>
      <c r="K66"/>
      <c r="L66">
        <f>VLOOKUP(A66, 'Table lookup_I1'!$A$2:$G$114, 2,  FALSE)</f>
        <v>292.2</v>
      </c>
      <c r="M66" t="str">
        <f>VLOOKUP(A66, 'Table lookup_I1'!$A$2:$G$114, 3,  FALSE)</f>
        <v>ng/µl</v>
      </c>
      <c r="N66">
        <f>VLOOKUP(A66, 'Table lookup_I1'!$A$2:$G$114, 4,  FALSE)</f>
        <v>2.16</v>
      </c>
      <c r="O66">
        <f>VLOOKUP(A66, 'Table lookup_I1'!$A$2:$G$114, 5,  FALSE)</f>
        <v>2.12</v>
      </c>
    </row>
    <row r="67" spans="1:15" s="10" customFormat="1" x14ac:dyDescent="0.2">
      <c r="A67" s="21" t="s">
        <v>169</v>
      </c>
      <c r="B67"/>
      <c r="C67"/>
      <c r="D67">
        <v>32.2261904010983</v>
      </c>
      <c r="E67">
        <v>30.574419533823701</v>
      </c>
      <c r="F67"/>
      <c r="G67">
        <v>33.343537976542102</v>
      </c>
      <c r="H67"/>
      <c r="I67">
        <v>35.795133824684001</v>
      </c>
      <c r="J67"/>
      <c r="K67">
        <v>30.373775294713798</v>
      </c>
      <c r="L67">
        <f>VLOOKUP(A67, 'Table lookup_I1'!$A$2:$G$114, 2,  FALSE)</f>
        <v>290.7</v>
      </c>
      <c r="M67" t="str">
        <f>VLOOKUP(A67, 'Table lookup_I1'!$A$2:$G$114, 3,  FALSE)</f>
        <v>ng/µl</v>
      </c>
      <c r="N67">
        <f>VLOOKUP(A67, 'Table lookup_I1'!$A$2:$G$114, 4,  FALSE)</f>
        <v>2.15</v>
      </c>
      <c r="O67">
        <f>VLOOKUP(A67, 'Table lookup_I1'!$A$2:$G$114, 5,  FALSE)</f>
        <v>2.02</v>
      </c>
    </row>
    <row r="68" spans="1:15" s="10" customFormat="1" x14ac:dyDescent="0.2">
      <c r="A68" t="s">
        <v>125</v>
      </c>
      <c r="B68"/>
      <c r="C68"/>
      <c r="D68">
        <v>30.782684773676301</v>
      </c>
      <c r="E68"/>
      <c r="F68"/>
      <c r="G68"/>
      <c r="H68"/>
      <c r="I68">
        <v>30.744131205598801</v>
      </c>
      <c r="J68"/>
      <c r="K68"/>
      <c r="L68">
        <f>VLOOKUP(A68, 'Table lookup_I1'!$A$2:$G$114, 2,  FALSE)</f>
        <v>213.8</v>
      </c>
      <c r="M68" t="str">
        <f>VLOOKUP(A68, 'Table lookup_I1'!$A$2:$G$114, 3,  FALSE)</f>
        <v>ng/µl</v>
      </c>
      <c r="N68">
        <f>VLOOKUP(A68, 'Table lookup_I1'!$A$2:$G$114, 4,  FALSE)</f>
        <v>2.16</v>
      </c>
      <c r="O68">
        <f>VLOOKUP(A68, 'Table lookup_I1'!$A$2:$G$114, 5,  FALSE)</f>
        <v>1.38</v>
      </c>
    </row>
    <row r="69" spans="1:15" s="10" customFormat="1" x14ac:dyDescent="0.2">
      <c r="A69" s="21" t="s">
        <v>196</v>
      </c>
      <c r="B69"/>
      <c r="C69"/>
      <c r="D69">
        <v>32.513084682331403</v>
      </c>
      <c r="E69"/>
      <c r="F69"/>
      <c r="G69">
        <v>31.551926286132101</v>
      </c>
      <c r="H69"/>
      <c r="I69">
        <v>33.096281420396501</v>
      </c>
      <c r="J69"/>
      <c r="K69"/>
      <c r="L69">
        <f>VLOOKUP(A69, 'Table lookup_I1'!$A$2:$G$114, 2,  FALSE)</f>
        <v>286.39999999999998</v>
      </c>
      <c r="M69" t="str">
        <f>VLOOKUP(A69, 'Table lookup_I1'!$A$2:$G$114, 3,  FALSE)</f>
        <v>ng/µl</v>
      </c>
      <c r="N69">
        <f>VLOOKUP(A69, 'Table lookup_I1'!$A$2:$G$114, 4,  FALSE)</f>
        <v>2.14</v>
      </c>
      <c r="O69">
        <f>VLOOKUP(A69, 'Table lookup_I1'!$A$2:$G$114, 5,  FALSE)</f>
        <v>2.17</v>
      </c>
    </row>
    <row r="70" spans="1:15" s="10" customFormat="1" x14ac:dyDescent="0.2">
      <c r="A70" s="21" t="s">
        <v>168</v>
      </c>
      <c r="B70"/>
      <c r="C70"/>
      <c r="D70">
        <v>31.316547034132999</v>
      </c>
      <c r="E70">
        <v>30.012258079776799</v>
      </c>
      <c r="F70"/>
      <c r="G70">
        <v>31.046202937365699</v>
      </c>
      <c r="H70"/>
      <c r="I70">
        <v>33.639616831549802</v>
      </c>
      <c r="J70"/>
      <c r="K70"/>
      <c r="L70">
        <f>VLOOKUP(A70, 'Table lookup_I1'!$A$2:$G$114, 2,  FALSE)</f>
        <v>230.5</v>
      </c>
      <c r="M70" t="str">
        <f>VLOOKUP(A70, 'Table lookup_I1'!$A$2:$G$114, 3,  FALSE)</f>
        <v>ng/µl</v>
      </c>
      <c r="N70">
        <f>VLOOKUP(A70, 'Table lookup_I1'!$A$2:$G$114, 4,  FALSE)</f>
        <v>2.06</v>
      </c>
      <c r="O70">
        <f>VLOOKUP(A70, 'Table lookup_I1'!$A$2:$G$114, 5,  FALSE)</f>
        <v>1.81</v>
      </c>
    </row>
    <row r="71" spans="1:15" s="10" customFormat="1" x14ac:dyDescent="0.2">
      <c r="A71" s="21" t="s">
        <v>124</v>
      </c>
      <c r="B71"/>
      <c r="C71"/>
      <c r="D71">
        <v>32.9192311731274</v>
      </c>
      <c r="E71"/>
      <c r="F71"/>
      <c r="G71">
        <v>32.080615153562199</v>
      </c>
      <c r="H71">
        <v>32.024361450070501</v>
      </c>
      <c r="I71">
        <v>30.707732549743699</v>
      </c>
      <c r="J71"/>
      <c r="K71">
        <v>31.895801646841502</v>
      </c>
      <c r="L71">
        <f>VLOOKUP(A71, 'Table lookup_I1'!$A$2:$G$114, 2,  FALSE)</f>
        <v>199.7</v>
      </c>
      <c r="M71" t="str">
        <f>VLOOKUP(A71, 'Table lookup_I1'!$A$2:$G$114, 3,  FALSE)</f>
        <v>ng/µl</v>
      </c>
      <c r="N71">
        <f>VLOOKUP(A71, 'Table lookup_I1'!$A$2:$G$114, 4,  FALSE)</f>
        <v>2.21</v>
      </c>
      <c r="O71">
        <f>VLOOKUP(A71, 'Table lookup_I1'!$A$2:$G$114, 5,  FALSE)</f>
        <v>1.45</v>
      </c>
    </row>
    <row r="72" spans="1:15" s="10" customFormat="1" x14ac:dyDescent="0.2">
      <c r="A72" t="s">
        <v>194</v>
      </c>
      <c r="B72"/>
      <c r="C72"/>
      <c r="D72">
        <v>31.347455968267099</v>
      </c>
      <c r="E72"/>
      <c r="F72"/>
      <c r="G72"/>
      <c r="H72"/>
      <c r="I72"/>
      <c r="J72"/>
      <c r="K72"/>
      <c r="L72">
        <f>VLOOKUP(A72, 'Table lookup_I1'!$A$2:$G$114, 2,  FALSE)</f>
        <v>375.4</v>
      </c>
      <c r="M72" t="str">
        <f>VLOOKUP(A72, 'Table lookup_I1'!$A$2:$G$114, 3,  FALSE)</f>
        <v>ng/µl</v>
      </c>
      <c r="N72">
        <f>VLOOKUP(A72, 'Table lookup_I1'!$A$2:$G$114, 4,  FALSE)</f>
        <v>2.14</v>
      </c>
      <c r="O72">
        <f>VLOOKUP(A72, 'Table lookup_I1'!$A$2:$G$114, 5,  FALSE)</f>
        <v>2.11</v>
      </c>
    </row>
    <row r="73" spans="1:15" s="10" customFormat="1" x14ac:dyDescent="0.2">
      <c r="A73" t="s">
        <v>166</v>
      </c>
      <c r="B73"/>
      <c r="C73"/>
      <c r="D73">
        <v>33.292089679416002</v>
      </c>
      <c r="E73">
        <v>30.8234218777678</v>
      </c>
      <c r="F73"/>
      <c r="G73"/>
      <c r="H73"/>
      <c r="I73"/>
      <c r="J73"/>
      <c r="K73">
        <v>31.666096984874098</v>
      </c>
      <c r="L73">
        <f>VLOOKUP(A73, 'Table lookup_I1'!$A$2:$G$114, 2,  FALSE)</f>
        <v>427.2</v>
      </c>
      <c r="M73" t="str">
        <f>VLOOKUP(A73, 'Table lookup_I1'!$A$2:$G$114, 3,  FALSE)</f>
        <v>ng/µl</v>
      </c>
      <c r="N73">
        <f>VLOOKUP(A73, 'Table lookup_I1'!$A$2:$G$114, 4,  FALSE)</f>
        <v>2.14</v>
      </c>
      <c r="O73">
        <f>VLOOKUP(A73, 'Table lookup_I1'!$A$2:$G$114, 5,  FALSE)</f>
        <v>2.1</v>
      </c>
    </row>
    <row r="74" spans="1:15" s="10" customFormat="1" x14ac:dyDescent="0.2">
      <c r="A74" t="s">
        <v>122</v>
      </c>
      <c r="B74"/>
      <c r="C74"/>
      <c r="D74">
        <v>33.7321339195611</v>
      </c>
      <c r="E74"/>
      <c r="F74"/>
      <c r="G74"/>
      <c r="H74"/>
      <c r="I74"/>
      <c r="J74"/>
      <c r="K74">
        <v>30.728185473015198</v>
      </c>
      <c r="L74">
        <f>VLOOKUP(A74, 'Table lookup_I1'!$A$2:$G$114, 2,  FALSE)</f>
        <v>329.5</v>
      </c>
      <c r="M74" t="str">
        <f>VLOOKUP(A74, 'Table lookup_I1'!$A$2:$G$114, 3,  FALSE)</f>
        <v>ng/µl</v>
      </c>
      <c r="N74">
        <f>VLOOKUP(A74, 'Table lookup_I1'!$A$2:$G$114, 4,  FALSE)</f>
        <v>2.15</v>
      </c>
      <c r="O74">
        <f>VLOOKUP(A74, 'Table lookup_I1'!$A$2:$G$114, 5,  FALSE)</f>
        <v>2.2400000000000002</v>
      </c>
    </row>
    <row r="75" spans="1:15" s="10" customFormat="1" x14ac:dyDescent="0.2">
      <c r="A75" t="s">
        <v>193</v>
      </c>
      <c r="B75"/>
      <c r="C75"/>
      <c r="D75">
        <v>32.456605671724603</v>
      </c>
      <c r="E75"/>
      <c r="F75"/>
      <c r="G75"/>
      <c r="H75"/>
      <c r="I75"/>
      <c r="J75"/>
      <c r="K75"/>
      <c r="L75">
        <f>VLOOKUP(A75, 'Table lookup_I1'!$A$2:$G$114, 2,  FALSE)</f>
        <v>325</v>
      </c>
      <c r="M75" t="str">
        <f>VLOOKUP(A75, 'Table lookup_I1'!$A$2:$G$114, 3,  FALSE)</f>
        <v>ng/µl</v>
      </c>
      <c r="N75">
        <f>VLOOKUP(A75, 'Table lookup_I1'!$A$2:$G$114, 4,  FALSE)</f>
        <v>2.16</v>
      </c>
      <c r="O75">
        <f>VLOOKUP(A75, 'Table lookup_I1'!$A$2:$G$114, 5,  FALSE)</f>
        <v>2.17</v>
      </c>
    </row>
    <row r="76" spans="1:15" s="10" customFormat="1" x14ac:dyDescent="0.2">
      <c r="A76" s="21" t="s">
        <v>165</v>
      </c>
      <c r="B76"/>
      <c r="C76"/>
      <c r="D76" s="11">
        <v>36.067481711004703</v>
      </c>
      <c r="E76">
        <v>30.497075357948798</v>
      </c>
      <c r="F76"/>
      <c r="G76">
        <v>30.234992662072301</v>
      </c>
      <c r="H76"/>
      <c r="I76"/>
      <c r="J76"/>
      <c r="K76">
        <v>31.373443657052899</v>
      </c>
      <c r="L76">
        <f>VLOOKUP(A76, 'Table lookup_I1'!$A$2:$G$114, 2,  FALSE)</f>
        <v>352.8</v>
      </c>
      <c r="M76" t="str">
        <f>VLOOKUP(A76, 'Table lookup_I1'!$A$2:$G$114, 3,  FALSE)</f>
        <v>ng/µl</v>
      </c>
      <c r="N76">
        <f>VLOOKUP(A76, 'Table lookup_I1'!$A$2:$G$114, 4,  FALSE)</f>
        <v>2.17</v>
      </c>
      <c r="O76">
        <f>VLOOKUP(A76, 'Table lookup_I1'!$A$2:$G$114, 5,  FALSE)</f>
        <v>1.94</v>
      </c>
    </row>
    <row r="77" spans="1:15" s="10" customFormat="1" x14ac:dyDescent="0.2">
      <c r="A77" s="21" t="s">
        <v>121</v>
      </c>
      <c r="B77"/>
      <c r="C77"/>
      <c r="D77">
        <v>32.943136824590297</v>
      </c>
      <c r="E77"/>
      <c r="F77"/>
      <c r="G77">
        <v>30.797330873436302</v>
      </c>
      <c r="H77"/>
      <c r="I77">
        <v>30.4099856924474</v>
      </c>
      <c r="J77"/>
      <c r="K77"/>
      <c r="L77">
        <f>VLOOKUP(A77, 'Table lookup_I1'!$A$2:$G$114, 2,  FALSE)</f>
        <v>407.9</v>
      </c>
      <c r="M77" t="str">
        <f>VLOOKUP(A77, 'Table lookup_I1'!$A$2:$G$114, 3,  FALSE)</f>
        <v>ng/µl</v>
      </c>
      <c r="N77">
        <f>VLOOKUP(A77, 'Table lookup_I1'!$A$2:$G$114, 4,  FALSE)</f>
        <v>2.14</v>
      </c>
      <c r="O77">
        <f>VLOOKUP(A77, 'Table lookup_I1'!$A$2:$G$114, 5,  FALSE)</f>
        <v>2.25</v>
      </c>
    </row>
    <row r="78" spans="1:15" s="10" customFormat="1" x14ac:dyDescent="0.2">
      <c r="A78" s="21" t="s">
        <v>192</v>
      </c>
      <c r="B78"/>
      <c r="C78"/>
      <c r="D78">
        <v>33.750189076526297</v>
      </c>
      <c r="E78"/>
      <c r="F78"/>
      <c r="G78">
        <v>31.232112247445901</v>
      </c>
      <c r="H78"/>
      <c r="I78">
        <v>32.344211685886101</v>
      </c>
      <c r="J78"/>
      <c r="K78">
        <v>30.105261551865802</v>
      </c>
      <c r="L78">
        <f>VLOOKUP(A78, 'Table lookup_I1'!$A$2:$G$114, 2,  FALSE)</f>
        <v>330.7</v>
      </c>
      <c r="M78" t="str">
        <f>VLOOKUP(A78, 'Table lookup_I1'!$A$2:$G$114, 3,  FALSE)</f>
        <v>ng/µl</v>
      </c>
      <c r="N78">
        <f>VLOOKUP(A78, 'Table lookup_I1'!$A$2:$G$114, 4,  FALSE)</f>
        <v>2.15</v>
      </c>
      <c r="O78">
        <f>VLOOKUP(A78, 'Table lookup_I1'!$A$2:$G$114, 5,  FALSE)</f>
        <v>2.12</v>
      </c>
    </row>
    <row r="79" spans="1:15" s="10" customFormat="1" x14ac:dyDescent="0.2">
      <c r="A79" s="21" t="s">
        <v>164</v>
      </c>
      <c r="B79"/>
      <c r="C79"/>
      <c r="D79">
        <v>33.087867446434501</v>
      </c>
      <c r="E79"/>
      <c r="F79"/>
      <c r="G79">
        <v>31.842499556756501</v>
      </c>
      <c r="H79"/>
      <c r="I79">
        <v>33.706268082093302</v>
      </c>
      <c r="J79"/>
      <c r="K79"/>
      <c r="L79">
        <f>VLOOKUP(A79, 'Table lookup_I1'!$A$2:$G$114, 2,  FALSE)</f>
        <v>125.2</v>
      </c>
      <c r="M79" t="str">
        <f>VLOOKUP(A79, 'Table lookup_I1'!$A$2:$G$114, 3,  FALSE)</f>
        <v>ng/µl</v>
      </c>
      <c r="N79">
        <f>VLOOKUP(A79, 'Table lookup_I1'!$A$2:$G$114, 4,  FALSE)</f>
        <v>2.12</v>
      </c>
      <c r="O79">
        <f>VLOOKUP(A79, 'Table lookup_I1'!$A$2:$G$114, 5,  FALSE)</f>
        <v>1.32</v>
      </c>
    </row>
    <row r="80" spans="1:15" s="10" customFormat="1" x14ac:dyDescent="0.2">
      <c r="A80" t="s">
        <v>120</v>
      </c>
      <c r="B80"/>
      <c r="C80"/>
      <c r="D80">
        <v>33.244101350909801</v>
      </c>
      <c r="E80"/>
      <c r="F80"/>
      <c r="G80"/>
      <c r="H80"/>
      <c r="I80"/>
      <c r="J80"/>
      <c r="K80"/>
      <c r="L80">
        <f>VLOOKUP(A80, 'Table lookup_I1'!$A$2:$G$114, 2,  FALSE)</f>
        <v>268.10000000000002</v>
      </c>
      <c r="M80" t="str">
        <f>VLOOKUP(A80, 'Table lookup_I1'!$A$2:$G$114, 3,  FALSE)</f>
        <v>ng/µl</v>
      </c>
      <c r="N80">
        <f>VLOOKUP(A80, 'Table lookup_I1'!$A$2:$G$114, 4,  FALSE)</f>
        <v>2.15</v>
      </c>
      <c r="O80">
        <f>VLOOKUP(A80, 'Table lookup_I1'!$A$2:$G$114, 5,  FALSE)</f>
        <v>2.13</v>
      </c>
    </row>
    <row r="81" spans="1:15" s="10" customFormat="1" x14ac:dyDescent="0.2">
      <c r="A81" t="s">
        <v>191</v>
      </c>
      <c r="B81"/>
      <c r="C81"/>
      <c r="D81">
        <v>32.842227372109598</v>
      </c>
      <c r="E81"/>
      <c r="F81"/>
      <c r="G81"/>
      <c r="H81"/>
      <c r="I81"/>
      <c r="J81"/>
      <c r="K81"/>
      <c r="L81">
        <f>VLOOKUP(A81, 'Table lookup_I1'!$A$2:$G$114, 2,  FALSE)</f>
        <v>285.3</v>
      </c>
      <c r="M81" t="str">
        <f>VLOOKUP(A81, 'Table lookup_I1'!$A$2:$G$114, 3,  FALSE)</f>
        <v>ng/µl</v>
      </c>
      <c r="N81">
        <f>VLOOKUP(A81, 'Table lookup_I1'!$A$2:$G$114, 4,  FALSE)</f>
        <v>2.16</v>
      </c>
      <c r="O81">
        <f>VLOOKUP(A81, 'Table lookup_I1'!$A$2:$G$114, 5,  FALSE)</f>
        <v>1.62</v>
      </c>
    </row>
    <row r="82" spans="1:15" s="10" customFormat="1" x14ac:dyDescent="0.2">
      <c r="A82" t="s">
        <v>163</v>
      </c>
      <c r="B82"/>
      <c r="C82"/>
      <c r="D82">
        <v>31.240052703437701</v>
      </c>
      <c r="E82"/>
      <c r="F82"/>
      <c r="G82"/>
      <c r="H82"/>
      <c r="I82"/>
      <c r="J82"/>
      <c r="K82"/>
      <c r="L82">
        <f>VLOOKUP(A82, 'Table lookup_I1'!$A$2:$G$114, 2,  FALSE)</f>
        <v>307.7</v>
      </c>
      <c r="M82" t="str">
        <f>VLOOKUP(A82, 'Table lookup_I1'!$A$2:$G$114, 3,  FALSE)</f>
        <v>ng/µl</v>
      </c>
      <c r="N82">
        <f>VLOOKUP(A82, 'Table lookup_I1'!$A$2:$G$114, 4,  FALSE)</f>
        <v>2.15</v>
      </c>
      <c r="O82">
        <f>VLOOKUP(A82, 'Table lookup_I1'!$A$2:$G$114, 5,  FALSE)</f>
        <v>2.09</v>
      </c>
    </row>
    <row r="83" spans="1:15" s="10" customFormat="1" x14ac:dyDescent="0.2">
      <c r="A83" t="s">
        <v>119</v>
      </c>
      <c r="B83"/>
      <c r="C83"/>
      <c r="D83">
        <v>33.564556699774599</v>
      </c>
      <c r="E83"/>
      <c r="F83"/>
      <c r="G83"/>
      <c r="H83"/>
      <c r="I83"/>
      <c r="J83"/>
      <c r="K83"/>
      <c r="L83">
        <f>VLOOKUP(A83, 'Table lookup_I1'!$A$2:$G$114, 2,  FALSE)</f>
        <v>340.3</v>
      </c>
      <c r="M83" t="str">
        <f>VLOOKUP(A83, 'Table lookup_I1'!$A$2:$G$114, 3,  FALSE)</f>
        <v>ng/µl</v>
      </c>
      <c r="N83">
        <f>VLOOKUP(A83, 'Table lookup_I1'!$A$2:$G$114, 4,  FALSE)</f>
        <v>2.15</v>
      </c>
      <c r="O83">
        <f>VLOOKUP(A83, 'Table lookup_I1'!$A$2:$G$114, 5,  FALSE)</f>
        <v>1.77</v>
      </c>
    </row>
    <row r="84" spans="1:15" s="10" customFormat="1" x14ac:dyDescent="0.2">
      <c r="A84" t="s">
        <v>190</v>
      </c>
      <c r="B84"/>
      <c r="C84"/>
      <c r="D84">
        <v>32.2159657240774</v>
      </c>
      <c r="E84"/>
      <c r="F84"/>
      <c r="G84"/>
      <c r="H84"/>
      <c r="I84"/>
      <c r="J84"/>
      <c r="K84"/>
      <c r="L84">
        <f>VLOOKUP(A84, 'Table lookup_I1'!$A$2:$G$114, 2,  FALSE)</f>
        <v>183.9</v>
      </c>
      <c r="M84" t="str">
        <f>VLOOKUP(A84, 'Table lookup_I1'!$A$2:$G$114, 3,  FALSE)</f>
        <v>ng/µl</v>
      </c>
      <c r="N84">
        <f>VLOOKUP(A84, 'Table lookup_I1'!$A$2:$G$114, 4,  FALSE)</f>
        <v>2.12</v>
      </c>
      <c r="O84">
        <f>VLOOKUP(A84, 'Table lookup_I1'!$A$2:$G$114, 5,  FALSE)</f>
        <v>1.92</v>
      </c>
    </row>
    <row r="85" spans="1:15" s="10" customFormat="1" x14ac:dyDescent="0.2">
      <c r="A85" t="s">
        <v>162</v>
      </c>
      <c r="B85"/>
      <c r="C85"/>
      <c r="D85">
        <v>32.7364524361561</v>
      </c>
      <c r="E85"/>
      <c r="F85"/>
      <c r="G85"/>
      <c r="H85"/>
      <c r="I85"/>
      <c r="J85"/>
      <c r="K85"/>
      <c r="L85">
        <f>VLOOKUP(A85, 'Table lookup_I1'!$A$2:$G$114, 2,  FALSE)</f>
        <v>239</v>
      </c>
      <c r="M85" t="str">
        <f>VLOOKUP(A85, 'Table lookup_I1'!$A$2:$G$114, 3,  FALSE)</f>
        <v>ng/µl</v>
      </c>
      <c r="N85">
        <f>VLOOKUP(A85, 'Table lookup_I1'!$A$2:$G$114, 4,  FALSE)</f>
        <v>2.1</v>
      </c>
      <c r="O85">
        <f>VLOOKUP(A85, 'Table lookup_I1'!$A$2:$G$114, 5,  FALSE)</f>
        <v>2.0299999999999998</v>
      </c>
    </row>
    <row r="86" spans="1:15" s="10" customFormat="1" x14ac:dyDescent="0.2">
      <c r="A86" t="s">
        <v>118</v>
      </c>
      <c r="B86"/>
      <c r="C86"/>
      <c r="D86">
        <v>31.235379779114101</v>
      </c>
      <c r="E86"/>
      <c r="F86"/>
      <c r="G86"/>
      <c r="H86"/>
      <c r="I86"/>
      <c r="J86"/>
      <c r="K86"/>
      <c r="L86">
        <f>VLOOKUP(A86, 'Table lookup_I1'!$A$2:$G$114, 2,  FALSE)</f>
        <v>369.3</v>
      </c>
      <c r="M86" t="str">
        <f>VLOOKUP(A86, 'Table lookup_I1'!$A$2:$G$114, 3,  FALSE)</f>
        <v>ng/µl</v>
      </c>
      <c r="N86">
        <f>VLOOKUP(A86, 'Table lookup_I1'!$A$2:$G$114, 4,  FALSE)</f>
        <v>2.15</v>
      </c>
      <c r="O86">
        <f>VLOOKUP(A86, 'Table lookup_I1'!$A$2:$G$114, 5,  FALSE)</f>
        <v>2.21</v>
      </c>
    </row>
    <row r="87" spans="1:15" s="10" customFormat="1" x14ac:dyDescent="0.2">
      <c r="A87" t="s">
        <v>189</v>
      </c>
      <c r="B87"/>
      <c r="C87"/>
      <c r="D87">
        <v>30.686751068647101</v>
      </c>
      <c r="E87"/>
      <c r="F87"/>
      <c r="G87"/>
      <c r="H87"/>
      <c r="I87"/>
      <c r="J87"/>
      <c r="K87"/>
      <c r="L87">
        <f>VLOOKUP(A87, 'Table lookup_I1'!$A$2:$G$114, 2,  FALSE)</f>
        <v>226.1</v>
      </c>
      <c r="M87" t="str">
        <f>VLOOKUP(A87, 'Table lookup_I1'!$A$2:$G$114, 3,  FALSE)</f>
        <v>ng/µl</v>
      </c>
      <c r="N87">
        <f>VLOOKUP(A87, 'Table lookup_I1'!$A$2:$G$114, 4,  FALSE)</f>
        <v>2.06</v>
      </c>
      <c r="O87">
        <f>VLOOKUP(A87, 'Table lookup_I1'!$A$2:$G$114, 5,  FALSE)</f>
        <v>1.48</v>
      </c>
    </row>
  </sheetData>
  <sortState xmlns:xlrd2="http://schemas.microsoft.com/office/spreadsheetml/2017/richdata2" ref="A2:O87">
    <sortCondition sortBy="cellColor" ref="A2:A87" dxfId="16"/>
  </sortState>
  <conditionalFormatting sqref="N1">
    <cfRule type="cellIs" dxfId="15" priority="13" operator="lessThan">
      <formula>1.54</formula>
    </cfRule>
    <cfRule type="cellIs" dxfId="14" priority="14" operator="between">
      <formula>1.55</formula>
      <formula>1.7</formula>
    </cfRule>
  </conditionalFormatting>
  <conditionalFormatting sqref="O1">
    <cfRule type="cellIs" dxfId="13" priority="11" operator="lessThan">
      <formula>1.54</formula>
    </cfRule>
    <cfRule type="cellIs" dxfId="12" priority="12" operator="between">
      <formula>1.55</formula>
      <formula>1.7</formula>
    </cfRule>
  </conditionalFormatting>
  <conditionalFormatting sqref="L1">
    <cfRule type="cellIs" dxfId="11" priority="9" operator="between">
      <formula>0.01</formula>
      <formula>24</formula>
    </cfRule>
    <cfRule type="cellIs" dxfId="10" priority="10" operator="between">
      <formula>30</formula>
      <formula>119</formula>
    </cfRule>
  </conditionalFormatting>
  <conditionalFormatting sqref="O1">
    <cfRule type="cellIs" dxfId="9" priority="7" operator="between">
      <formula>1.59</formula>
      <formula>1.8</formula>
    </cfRule>
    <cfRule type="cellIs" dxfId="8" priority="8" operator="between">
      <formula>0.01</formula>
      <formula>1.59</formula>
    </cfRule>
  </conditionalFormatting>
  <conditionalFormatting sqref="N1:O1">
    <cfRule type="cellIs" dxfId="7" priority="5" operator="between">
      <formula>1.49</formula>
      <formula>1.69</formula>
    </cfRule>
    <cfRule type="cellIs" dxfId="6" priority="6" operator="between">
      <formula>0.01</formula>
      <formula>1.49</formula>
    </cfRule>
  </conditionalFormatting>
  <conditionalFormatting sqref="L1:L1048576">
    <cfRule type="cellIs" dxfId="5" priority="3" operator="between">
      <formula>30</formula>
      <formula>119</formula>
    </cfRule>
    <cfRule type="cellIs" dxfId="4" priority="4" operator="between">
      <formula>0.01</formula>
      <formula>30</formula>
    </cfRule>
  </conditionalFormatting>
  <conditionalFormatting sqref="N1:O1048576">
    <cfRule type="cellIs" dxfId="3" priority="1" operator="between">
      <formula>1.5</formula>
      <formula>1.6</formula>
    </cfRule>
    <cfRule type="cellIs" dxfId="2" priority="2" operator="between">
      <formula>0.01</formula>
      <formula>1.49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FA11D-FC6E-6C42-8AE5-A6E047446549}">
  <dimension ref="A1:E7"/>
  <sheetViews>
    <sheetView workbookViewId="0">
      <selection sqref="A1:E7"/>
    </sheetView>
  </sheetViews>
  <sheetFormatPr baseColWidth="10" defaultRowHeight="16" x14ac:dyDescent="0.2"/>
  <cols>
    <col min="2" max="2" width="16.5" customWidth="1"/>
    <col min="3" max="3" width="6.5" customWidth="1"/>
    <col min="4" max="4" width="8.6640625" customWidth="1"/>
    <col min="5" max="5" width="9" customWidth="1"/>
  </cols>
  <sheetData>
    <row r="1" spans="1:5" ht="25" customHeight="1" x14ac:dyDescent="0.2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</row>
    <row r="2" spans="1:5" x14ac:dyDescent="0.2">
      <c r="A2" s="12" t="s">
        <v>257</v>
      </c>
      <c r="B2" s="13">
        <v>4</v>
      </c>
      <c r="C2" s="12" t="s">
        <v>239</v>
      </c>
      <c r="D2" s="13">
        <v>1.27</v>
      </c>
      <c r="E2" s="13">
        <v>0.15</v>
      </c>
    </row>
    <row r="3" spans="1:5" x14ac:dyDescent="0.2">
      <c r="A3" s="12" t="s">
        <v>27</v>
      </c>
      <c r="B3" s="13">
        <v>9.6</v>
      </c>
      <c r="C3" s="12" t="s">
        <v>239</v>
      </c>
      <c r="D3" s="13">
        <v>2.08</v>
      </c>
      <c r="E3" s="13">
        <v>0.03</v>
      </c>
    </row>
    <row r="4" spans="1:5" x14ac:dyDescent="0.2">
      <c r="A4" s="12" t="s">
        <v>72</v>
      </c>
      <c r="B4" s="13">
        <v>3.2</v>
      </c>
      <c r="C4" s="12" t="s">
        <v>239</v>
      </c>
      <c r="D4" s="13">
        <v>1.86</v>
      </c>
      <c r="E4" s="13">
        <v>0.09</v>
      </c>
    </row>
    <row r="5" spans="1:5" x14ac:dyDescent="0.2">
      <c r="A5" s="12" t="s">
        <v>89</v>
      </c>
      <c r="B5" s="13">
        <v>5</v>
      </c>
      <c r="C5" s="12" t="s">
        <v>239</v>
      </c>
      <c r="D5" s="13">
        <v>1.66</v>
      </c>
      <c r="E5" s="13">
        <v>0.08</v>
      </c>
    </row>
    <row r="6" spans="1:5" x14ac:dyDescent="0.2">
      <c r="A6" s="12" t="s">
        <v>237</v>
      </c>
      <c r="B6" s="13">
        <v>11.2</v>
      </c>
      <c r="C6" s="12" t="s">
        <v>239</v>
      </c>
      <c r="D6" s="13">
        <v>1.21</v>
      </c>
      <c r="E6" s="13">
        <v>0.25</v>
      </c>
    </row>
    <row r="7" spans="1:5" x14ac:dyDescent="0.2">
      <c r="A7" s="12" t="s">
        <v>256</v>
      </c>
      <c r="B7" s="13">
        <v>0</v>
      </c>
      <c r="C7" s="12" t="s">
        <v>239</v>
      </c>
      <c r="D7" s="13">
        <v>0</v>
      </c>
      <c r="E7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02D7C-E058-A44C-867A-1FC880A0F85B}">
  <dimension ref="A1:O11"/>
  <sheetViews>
    <sheetView tabSelected="1" workbookViewId="0">
      <selection sqref="A1:O11"/>
    </sheetView>
  </sheetViews>
  <sheetFormatPr baseColWidth="10" defaultRowHeight="16" x14ac:dyDescent="0.2"/>
  <cols>
    <col min="1" max="1" width="9.5" bestFit="1" customWidth="1"/>
    <col min="2" max="2" width="7.6640625" customWidth="1"/>
    <col min="3" max="3" width="12.1640625" customWidth="1"/>
    <col min="4" max="11" width="12.1640625" bestFit="1" customWidth="1"/>
    <col min="12" max="12" width="16.83203125" bestFit="1" customWidth="1"/>
    <col min="13" max="13" width="4.83203125" bestFit="1" customWidth="1"/>
    <col min="14" max="15" width="7.6640625" bestFit="1" customWidth="1"/>
  </cols>
  <sheetData>
    <row r="1" spans="1:15" x14ac:dyDescent="0.2">
      <c r="A1" s="14" t="s">
        <v>0</v>
      </c>
      <c r="B1" s="8" t="s">
        <v>150</v>
      </c>
      <c r="C1" s="8" t="s">
        <v>149</v>
      </c>
      <c r="D1" s="8" t="s">
        <v>148</v>
      </c>
      <c r="E1" s="8" t="s">
        <v>147</v>
      </c>
      <c r="F1" s="8" t="s">
        <v>146</v>
      </c>
      <c r="G1" s="8" t="s">
        <v>255</v>
      </c>
      <c r="H1" s="8" t="s">
        <v>254</v>
      </c>
      <c r="I1" s="8" t="s">
        <v>145</v>
      </c>
      <c r="J1" s="8" t="s">
        <v>253</v>
      </c>
      <c r="K1" s="8" t="s">
        <v>252</v>
      </c>
      <c r="L1" s="15" t="s">
        <v>1</v>
      </c>
      <c r="M1" s="14" t="s">
        <v>2</v>
      </c>
      <c r="N1" s="15" t="s">
        <v>3</v>
      </c>
      <c r="O1" s="15" t="s">
        <v>4</v>
      </c>
    </row>
    <row r="2" spans="1:15" x14ac:dyDescent="0.2">
      <c r="A2" s="19" t="s">
        <v>28</v>
      </c>
      <c r="B2" s="20"/>
      <c r="C2" s="20">
        <v>32.630000000000003</v>
      </c>
      <c r="D2" s="20">
        <v>32.479999999999997</v>
      </c>
      <c r="E2" s="20">
        <v>31.68</v>
      </c>
      <c r="F2" s="20"/>
      <c r="G2" s="20">
        <v>33.130000000000003</v>
      </c>
      <c r="H2" s="20">
        <v>32.33</v>
      </c>
      <c r="I2" s="20">
        <v>31.19</v>
      </c>
      <c r="J2" s="20">
        <v>35.33</v>
      </c>
      <c r="K2" s="20">
        <v>34.770000000000003</v>
      </c>
      <c r="L2" s="18">
        <v>20.3</v>
      </c>
      <c r="M2" s="19" t="s">
        <v>239</v>
      </c>
      <c r="N2" s="18">
        <v>1.8</v>
      </c>
      <c r="O2" s="18">
        <v>0.24</v>
      </c>
    </row>
    <row r="3" spans="1:15" x14ac:dyDescent="0.2">
      <c r="A3" s="19" t="s">
        <v>202</v>
      </c>
      <c r="B3" s="20">
        <v>30.2</v>
      </c>
      <c r="C3" s="20">
        <v>31.79</v>
      </c>
      <c r="D3" s="20">
        <v>31.85</v>
      </c>
      <c r="E3" s="20">
        <v>31.23</v>
      </c>
      <c r="F3" s="20">
        <v>34.46</v>
      </c>
      <c r="G3" s="20">
        <v>31.63</v>
      </c>
      <c r="H3" s="20">
        <v>32.56</v>
      </c>
      <c r="I3" s="20">
        <v>31.27</v>
      </c>
      <c r="J3" s="20">
        <v>38.65</v>
      </c>
      <c r="K3" s="20">
        <v>32.549999999999997</v>
      </c>
      <c r="L3" s="18">
        <v>74.8</v>
      </c>
      <c r="M3" s="19" t="s">
        <v>239</v>
      </c>
      <c r="N3" s="18">
        <v>2.2999999999999998</v>
      </c>
      <c r="O3" s="18">
        <v>1.44</v>
      </c>
    </row>
    <row r="4" spans="1:15" x14ac:dyDescent="0.2">
      <c r="A4" s="19" t="s">
        <v>201</v>
      </c>
      <c r="B4" s="20">
        <v>32.81</v>
      </c>
      <c r="C4" s="20">
        <v>35.369999999999997</v>
      </c>
      <c r="D4" s="20">
        <v>39.159999999999997</v>
      </c>
      <c r="E4" s="20">
        <v>37.29</v>
      </c>
      <c r="F4" s="20">
        <v>34.56</v>
      </c>
      <c r="G4" s="20"/>
      <c r="H4" s="20"/>
      <c r="I4" s="20"/>
      <c r="J4" s="20">
        <v>34.75</v>
      </c>
      <c r="K4" s="20">
        <v>37.61</v>
      </c>
      <c r="L4" s="18">
        <v>214.9</v>
      </c>
      <c r="M4" s="19" t="s">
        <v>239</v>
      </c>
      <c r="N4" s="18">
        <v>2.0499999999999998</v>
      </c>
      <c r="O4" s="18">
        <v>1.72</v>
      </c>
    </row>
    <row r="5" spans="1:15" x14ac:dyDescent="0.2">
      <c r="A5" s="19" t="s">
        <v>195</v>
      </c>
      <c r="B5" s="20"/>
      <c r="C5" s="20">
        <v>32.64</v>
      </c>
      <c r="D5" s="20">
        <v>39.020000000000003</v>
      </c>
      <c r="E5" s="20">
        <v>38.119999999999997</v>
      </c>
      <c r="F5" s="20">
        <v>30.78</v>
      </c>
      <c r="G5" s="20">
        <v>38.39</v>
      </c>
      <c r="H5" s="20"/>
      <c r="I5" s="20">
        <v>38.19</v>
      </c>
      <c r="J5" s="20">
        <v>32.94</v>
      </c>
      <c r="K5" s="20"/>
      <c r="L5" s="18">
        <v>357</v>
      </c>
      <c r="M5" s="19" t="s">
        <v>239</v>
      </c>
      <c r="N5" s="18">
        <v>2.16</v>
      </c>
      <c r="O5" s="18">
        <v>1.65</v>
      </c>
    </row>
    <row r="6" spans="1:15" x14ac:dyDescent="0.2">
      <c r="A6" s="17" t="s">
        <v>167</v>
      </c>
      <c r="B6" s="20"/>
      <c r="C6" s="20"/>
      <c r="D6" s="20">
        <v>33.369999999999997</v>
      </c>
      <c r="E6" s="20">
        <v>30.84</v>
      </c>
      <c r="F6" s="20"/>
      <c r="G6" s="20">
        <v>33.42</v>
      </c>
      <c r="H6" s="20">
        <v>32.340000000000003</v>
      </c>
      <c r="I6" s="20">
        <v>33.869999999999997</v>
      </c>
      <c r="J6" s="20"/>
      <c r="K6" s="20">
        <v>31.48</v>
      </c>
      <c r="L6" s="16">
        <v>468.9</v>
      </c>
      <c r="M6" s="17" t="s">
        <v>239</v>
      </c>
      <c r="N6" s="16">
        <v>2.14</v>
      </c>
      <c r="O6" s="16">
        <v>1.31</v>
      </c>
    </row>
    <row r="7" spans="1:15" x14ac:dyDescent="0.2">
      <c r="A7" s="19" t="s">
        <v>123</v>
      </c>
      <c r="B7" s="20"/>
      <c r="C7" s="20">
        <v>33.18</v>
      </c>
      <c r="D7" s="20">
        <v>38.85</v>
      </c>
      <c r="E7" s="20">
        <v>34.159999999999997</v>
      </c>
      <c r="F7" s="20"/>
      <c r="G7" s="20">
        <v>34.520000000000003</v>
      </c>
      <c r="H7" s="20">
        <v>34.26</v>
      </c>
      <c r="I7" s="20">
        <v>32.56</v>
      </c>
      <c r="J7" s="20">
        <v>31.54</v>
      </c>
      <c r="K7" s="20">
        <v>39.31</v>
      </c>
      <c r="L7" s="18">
        <v>282</v>
      </c>
      <c r="M7" s="19" t="s">
        <v>239</v>
      </c>
      <c r="N7" s="18">
        <v>2.15</v>
      </c>
      <c r="O7" s="18">
        <v>1.84</v>
      </c>
    </row>
    <row r="8" spans="1:15" x14ac:dyDescent="0.2">
      <c r="A8" s="19" t="s">
        <v>142</v>
      </c>
      <c r="B8" s="20"/>
      <c r="C8" s="20">
        <v>31.18</v>
      </c>
      <c r="D8" s="20">
        <v>32.049999999999997</v>
      </c>
      <c r="E8" s="20">
        <v>31.06</v>
      </c>
      <c r="F8" s="20"/>
      <c r="G8" s="20">
        <v>30.66</v>
      </c>
      <c r="H8" s="20"/>
      <c r="I8" s="20">
        <v>32.47</v>
      </c>
      <c r="J8" s="20"/>
      <c r="K8" s="20"/>
      <c r="L8" s="18">
        <v>235.4</v>
      </c>
      <c r="M8" s="19" t="s">
        <v>239</v>
      </c>
      <c r="N8" s="18">
        <v>2.15</v>
      </c>
      <c r="O8" s="18">
        <v>1.43</v>
      </c>
    </row>
    <row r="9" spans="1:15" x14ac:dyDescent="0.2">
      <c r="A9" s="19" t="s">
        <v>153</v>
      </c>
      <c r="B9" s="20"/>
      <c r="C9" s="20"/>
      <c r="D9" s="20">
        <v>33.78</v>
      </c>
      <c r="E9" s="20">
        <v>30.75</v>
      </c>
      <c r="F9" s="20"/>
      <c r="G9" s="20">
        <v>33.39</v>
      </c>
      <c r="H9" s="20">
        <v>31.94</v>
      </c>
      <c r="I9" s="20">
        <v>36.08</v>
      </c>
      <c r="J9" s="20"/>
      <c r="K9" s="20">
        <v>30.48</v>
      </c>
      <c r="L9" s="18">
        <v>99.3</v>
      </c>
      <c r="M9" s="19" t="s">
        <v>239</v>
      </c>
      <c r="N9" s="18">
        <v>2.09</v>
      </c>
      <c r="O9" s="18">
        <v>1.26</v>
      </c>
    </row>
    <row r="10" spans="1:15" x14ac:dyDescent="0.2">
      <c r="A10" s="17" t="s">
        <v>134</v>
      </c>
      <c r="B10" s="20"/>
      <c r="C10" s="20">
        <v>36.82</v>
      </c>
      <c r="D10" s="20"/>
      <c r="E10" s="20">
        <v>39.119999999999997</v>
      </c>
      <c r="F10" s="20">
        <v>39.78</v>
      </c>
      <c r="G10" s="20">
        <v>35.51</v>
      </c>
      <c r="H10" s="20">
        <v>37.28</v>
      </c>
      <c r="I10" s="20">
        <v>35.880000000000003</v>
      </c>
      <c r="J10" s="20">
        <v>39.01</v>
      </c>
      <c r="K10" s="20"/>
      <c r="L10" s="16">
        <v>228.6</v>
      </c>
      <c r="M10" s="17" t="s">
        <v>239</v>
      </c>
      <c r="N10" s="16">
        <v>2.12</v>
      </c>
      <c r="O10" s="16">
        <v>1.98</v>
      </c>
    </row>
    <row r="11" spans="1:15" x14ac:dyDescent="0.2">
      <c r="A11" s="19" t="s">
        <v>133</v>
      </c>
      <c r="B11" s="20"/>
      <c r="C11" s="20"/>
      <c r="D11" s="20">
        <v>30.88</v>
      </c>
      <c r="E11" s="20">
        <v>35.85</v>
      </c>
      <c r="F11" s="20"/>
      <c r="G11" s="20"/>
      <c r="H11" s="20"/>
      <c r="I11" s="20">
        <v>31.39</v>
      </c>
      <c r="J11" s="20"/>
      <c r="K11" s="20"/>
      <c r="L11" s="18">
        <v>131.4</v>
      </c>
      <c r="M11" s="19" t="s">
        <v>239</v>
      </c>
      <c r="N11" s="18">
        <v>2</v>
      </c>
      <c r="O11" s="18">
        <v>0.57999999999999996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Table lookup_N2</vt:lpstr>
      <vt:lpstr>Table lookup_I1</vt:lpstr>
      <vt:lpstr>N2-High_samples</vt:lpstr>
      <vt:lpstr>I1-High_samples</vt:lpstr>
      <vt:lpstr>Omitted samples - cDNA</vt:lpstr>
      <vt:lpstr>Omitted samples - qPCR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Corine Alexis Faehn</cp:lastModifiedBy>
  <dcterms:created xsi:type="dcterms:W3CDTF">2021-01-17T11:42:57Z</dcterms:created>
  <dcterms:modified xsi:type="dcterms:W3CDTF">2021-04-30T10:52:13Z</dcterms:modified>
</cp:coreProperties>
</file>