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cfa024\OneDrive - UiT Office 365\Master's Thesis\Methods\RNA-cDNA\"/>
    </mc:Choice>
  </mc:AlternateContent>
  <bookViews>
    <workbookView xWindow="375" yWindow="465" windowWidth="26325" windowHeight="16125"/>
  </bookViews>
  <sheets>
    <sheet name="RNA" sheetId="1" r:id="rId1"/>
    <sheet name="cDNA" sheetId="2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6" i="2" l="1"/>
  <c r="I65" i="2"/>
  <c r="C65" i="2"/>
  <c r="D65" i="2"/>
  <c r="E65" i="2"/>
  <c r="F65" i="2"/>
  <c r="G65" i="2"/>
  <c r="H65" i="2"/>
  <c r="C66" i="2"/>
  <c r="D66" i="2"/>
  <c r="E66" i="2"/>
  <c r="F66" i="2"/>
  <c r="G66" i="2"/>
  <c r="H66" i="2"/>
  <c r="B66" i="2"/>
  <c r="B62" i="2"/>
  <c r="B65" i="2"/>
  <c r="B61" i="2"/>
  <c r="C61" i="2"/>
  <c r="D61" i="2"/>
  <c r="E61" i="2"/>
  <c r="F61" i="2"/>
  <c r="G61" i="2"/>
  <c r="H61" i="2"/>
  <c r="I61" i="2"/>
  <c r="C62" i="2"/>
  <c r="D62" i="2"/>
  <c r="E62" i="2"/>
  <c r="F62" i="2"/>
  <c r="G62" i="2"/>
  <c r="H62" i="2"/>
  <c r="I62" i="2"/>
  <c r="B55" i="2"/>
  <c r="B54" i="2"/>
  <c r="C54" i="2"/>
  <c r="D54" i="2"/>
  <c r="E54" i="2"/>
  <c r="F54" i="2"/>
  <c r="G54" i="2"/>
  <c r="H54" i="2"/>
  <c r="I54" i="2"/>
  <c r="C55" i="2"/>
  <c r="D55" i="2"/>
  <c r="E55" i="2"/>
  <c r="F55" i="2"/>
  <c r="G55" i="2"/>
  <c r="H55" i="2"/>
  <c r="I55" i="2"/>
  <c r="B51" i="2"/>
  <c r="B50" i="2"/>
  <c r="C50" i="2"/>
  <c r="D50" i="2"/>
  <c r="E50" i="2"/>
  <c r="F50" i="2"/>
  <c r="G50" i="2"/>
  <c r="H50" i="2"/>
  <c r="I50" i="2"/>
  <c r="C51" i="2"/>
  <c r="D51" i="2"/>
  <c r="E51" i="2"/>
  <c r="F51" i="2"/>
  <c r="G51" i="2"/>
  <c r="H51" i="2"/>
  <c r="I51" i="2"/>
  <c r="B47" i="2"/>
  <c r="B46" i="2"/>
  <c r="C46" i="2"/>
  <c r="D46" i="2"/>
  <c r="E46" i="2"/>
  <c r="F46" i="2"/>
  <c r="G46" i="2"/>
  <c r="H46" i="2"/>
  <c r="I46" i="2"/>
  <c r="C47" i="2"/>
  <c r="D47" i="2"/>
  <c r="E47" i="2"/>
  <c r="F47" i="2"/>
  <c r="G47" i="2"/>
  <c r="H47" i="2"/>
  <c r="I47" i="2"/>
  <c r="B43" i="2"/>
  <c r="B42" i="2"/>
  <c r="C42" i="2"/>
  <c r="D42" i="2"/>
  <c r="E42" i="2"/>
  <c r="F42" i="2"/>
  <c r="G42" i="2"/>
  <c r="H42" i="2"/>
  <c r="I42" i="2"/>
  <c r="C43" i="2"/>
  <c r="D43" i="2"/>
  <c r="E43" i="2"/>
  <c r="F43" i="2"/>
  <c r="G43" i="2"/>
  <c r="H43" i="2"/>
  <c r="I43" i="2"/>
  <c r="B36" i="2"/>
  <c r="B35" i="2"/>
  <c r="C35" i="2"/>
  <c r="D35" i="2"/>
  <c r="E35" i="2"/>
  <c r="F35" i="2"/>
  <c r="G35" i="2"/>
  <c r="H35" i="2"/>
  <c r="I35" i="2"/>
  <c r="C36" i="2"/>
  <c r="D36" i="2"/>
  <c r="E36" i="2"/>
  <c r="F36" i="2"/>
  <c r="G36" i="2"/>
  <c r="H36" i="2"/>
  <c r="I36" i="2"/>
  <c r="B32" i="2"/>
  <c r="B31" i="2"/>
  <c r="C31" i="2"/>
  <c r="D31" i="2"/>
  <c r="E31" i="2"/>
  <c r="F31" i="2"/>
  <c r="G31" i="2"/>
  <c r="H31" i="2"/>
  <c r="I31" i="2"/>
  <c r="C32" i="2"/>
  <c r="D32" i="2"/>
  <c r="E32" i="2"/>
  <c r="F32" i="2"/>
  <c r="G32" i="2"/>
  <c r="H32" i="2"/>
  <c r="I32" i="2"/>
  <c r="B28" i="2"/>
  <c r="B27" i="2"/>
  <c r="C27" i="2"/>
  <c r="D27" i="2"/>
  <c r="E27" i="2"/>
  <c r="F27" i="2"/>
  <c r="G27" i="2"/>
  <c r="H27" i="2"/>
  <c r="I27" i="2"/>
  <c r="C28" i="2"/>
  <c r="D28" i="2"/>
  <c r="E28" i="2"/>
  <c r="F28" i="2"/>
  <c r="G28" i="2"/>
  <c r="H28" i="2"/>
  <c r="I28" i="2"/>
  <c r="B24" i="2"/>
  <c r="B23" i="2"/>
  <c r="C23" i="2"/>
  <c r="D23" i="2"/>
  <c r="E23" i="2"/>
  <c r="F23" i="2"/>
  <c r="G23" i="2"/>
  <c r="H23" i="2"/>
  <c r="I23" i="2"/>
  <c r="C24" i="2"/>
  <c r="D24" i="2"/>
  <c r="E24" i="2"/>
  <c r="F24" i="2"/>
  <c r="G24" i="2"/>
  <c r="H24" i="2"/>
  <c r="I24" i="2"/>
  <c r="B16" i="2"/>
  <c r="B15" i="2"/>
  <c r="C15" i="2"/>
  <c r="D15" i="2"/>
  <c r="E15" i="2"/>
  <c r="F15" i="2"/>
  <c r="G15" i="2"/>
  <c r="H15" i="2"/>
  <c r="I15" i="2"/>
  <c r="C16" i="2"/>
  <c r="D16" i="2"/>
  <c r="E16" i="2"/>
  <c r="F16" i="2"/>
  <c r="G16" i="2"/>
  <c r="H16" i="2"/>
  <c r="I16" i="2"/>
  <c r="B12" i="2"/>
  <c r="B11" i="2"/>
  <c r="B7" i="2"/>
  <c r="B8" i="2"/>
  <c r="C11" i="2"/>
  <c r="D11" i="2"/>
  <c r="E11" i="2"/>
  <c r="F11" i="2"/>
  <c r="G11" i="2"/>
  <c r="H11" i="2"/>
  <c r="I11" i="2"/>
  <c r="C12" i="2"/>
  <c r="D12" i="2"/>
  <c r="E12" i="2"/>
  <c r="F12" i="2"/>
  <c r="G12" i="2"/>
  <c r="H12" i="2"/>
  <c r="I12" i="2"/>
  <c r="C7" i="2"/>
  <c r="D7" i="2"/>
  <c r="E7" i="2"/>
  <c r="F7" i="2"/>
  <c r="G7" i="2"/>
  <c r="H7" i="2"/>
  <c r="I7" i="2"/>
  <c r="C8" i="2"/>
  <c r="D8" i="2"/>
  <c r="E8" i="2"/>
  <c r="F8" i="2"/>
  <c r="G8" i="2"/>
  <c r="H8" i="2"/>
  <c r="I8" i="2"/>
  <c r="B4" i="2"/>
  <c r="B3" i="2"/>
  <c r="C3" i="2"/>
  <c r="D3" i="2"/>
  <c r="E3" i="2"/>
  <c r="F3" i="2"/>
  <c r="G3" i="2"/>
  <c r="H3" i="2"/>
  <c r="I3" i="2"/>
  <c r="C4" i="2"/>
  <c r="D4" i="2"/>
  <c r="E4" i="2"/>
  <c r="F4" i="2"/>
  <c r="G4" i="2"/>
  <c r="H4" i="2"/>
  <c r="I4" i="2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2" i="1" l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2" i="1"/>
</calcChain>
</file>

<file path=xl/sharedStrings.xml><?xml version="1.0" encoding="utf-8"?>
<sst xmlns="http://schemas.openxmlformats.org/spreadsheetml/2006/main" count="803" uniqueCount="243">
  <si>
    <t>Sample ID</t>
  </si>
  <si>
    <t>User name</t>
  </si>
  <si>
    <t>Date and Time</t>
  </si>
  <si>
    <t>Nucleic Acid Conc.</t>
  </si>
  <si>
    <t>Unit</t>
  </si>
  <si>
    <t>260/280</t>
  </si>
  <si>
    <t>260/230</t>
  </si>
  <si>
    <t>Sample Type</t>
  </si>
  <si>
    <t>Factor</t>
  </si>
  <si>
    <t>I4_1A_1</t>
  </si>
  <si>
    <t>Nanodrop 2000</t>
  </si>
  <si>
    <t>01.07.2021 12:13:28</t>
  </si>
  <si>
    <t>ng/µl</t>
  </si>
  <si>
    <t>RNA</t>
  </si>
  <si>
    <t>I4_1A_2</t>
  </si>
  <si>
    <t>01.07.2021 12:13:57</t>
  </si>
  <si>
    <t>I4_1A_3</t>
  </si>
  <si>
    <t>01.07.2021 12:14:28</t>
  </si>
  <si>
    <t>I4_1B_1</t>
  </si>
  <si>
    <t>01.07.2021 12:15:03</t>
  </si>
  <si>
    <t>I4_1B_2</t>
  </si>
  <si>
    <t>01.07.2021 12:15:33</t>
  </si>
  <si>
    <t>I4_1B_3</t>
  </si>
  <si>
    <t>01.07.2021 12:16:02</t>
  </si>
  <si>
    <t>I4_2A_1</t>
  </si>
  <si>
    <t>13.07.2021 11:20:14</t>
  </si>
  <si>
    <t>I4_2A_2</t>
  </si>
  <si>
    <t>13.07.2021 11:20:42</t>
  </si>
  <si>
    <t>I4_2A_3</t>
  </si>
  <si>
    <t>13.07.2021 11:21:13</t>
  </si>
  <si>
    <t>I4_2B_1</t>
  </si>
  <si>
    <t>13.07.2021 11:21:42</t>
  </si>
  <si>
    <t>I4_2B_2</t>
  </si>
  <si>
    <t>13.07.2021 11:22:19</t>
  </si>
  <si>
    <t>I4_2B_3</t>
  </si>
  <si>
    <t>13.07.2021 11:22:48</t>
  </si>
  <si>
    <t>I4_3A_1</t>
  </si>
  <si>
    <t>13.07.2021 11:23:18</t>
  </si>
  <si>
    <t>I4_3A_2</t>
  </si>
  <si>
    <t>13.07.2021 11:23:49</t>
  </si>
  <si>
    <t>I4_3A_3</t>
  </si>
  <si>
    <t>13.07.2021 11:24:20</t>
  </si>
  <si>
    <t>I4_3B_1</t>
  </si>
  <si>
    <t>13.07.2021 11:25:08</t>
  </si>
  <si>
    <t>I4_3B_2</t>
  </si>
  <si>
    <t>13.07.2021 11:25:42</t>
  </si>
  <si>
    <t>I4_3B_3</t>
  </si>
  <si>
    <t>13.07.2021 11:27:28</t>
  </si>
  <si>
    <t>I4_4A_1</t>
  </si>
  <si>
    <t>13.07.2021 11:28:14</t>
  </si>
  <si>
    <t>I4_4A_2</t>
  </si>
  <si>
    <t>13.07.2021 11:28:42</t>
  </si>
  <si>
    <t>I4_4A_3</t>
  </si>
  <si>
    <t>13.07.2021 11:29:20</t>
  </si>
  <si>
    <t>I4_4B_1</t>
  </si>
  <si>
    <t>13.07.2021 11:30:15</t>
  </si>
  <si>
    <t>I4_4B_2</t>
  </si>
  <si>
    <t>13.07.2021 11:30:47</t>
  </si>
  <si>
    <t>I4_4B_3</t>
  </si>
  <si>
    <t>13.07.2021 11:31:13</t>
  </si>
  <si>
    <t>I4_5A_1</t>
  </si>
  <si>
    <t>15.07.2021 12:04:15</t>
  </si>
  <si>
    <t>I4_5A_2</t>
  </si>
  <si>
    <t>15.07.2021 12:04:48</t>
  </si>
  <si>
    <t>I4_5A_3</t>
  </si>
  <si>
    <t>15.07.2021 12:05:25</t>
  </si>
  <si>
    <t>I4_5B_1</t>
  </si>
  <si>
    <t>15.07.2021 12:05:54</t>
  </si>
  <si>
    <t>I4_5B_2</t>
  </si>
  <si>
    <t>15.07.2021 12:06:26</t>
  </si>
  <si>
    <t>I4_5B_3</t>
  </si>
  <si>
    <t>15.07.2021 12:06:55</t>
  </si>
  <si>
    <t>I4_6A_1</t>
  </si>
  <si>
    <t>15.07.2021 12:07:28</t>
  </si>
  <si>
    <t>I4_6A_2</t>
  </si>
  <si>
    <t>15.07.2021 12:08:02</t>
  </si>
  <si>
    <t>I4_6A_3</t>
  </si>
  <si>
    <t>15.07.2021 12:08:36</t>
  </si>
  <si>
    <t>I4_6B_1</t>
  </si>
  <si>
    <t>15.07.2021 12:09:12</t>
  </si>
  <si>
    <t>I4_6B_2</t>
  </si>
  <si>
    <t>15.07.2021 12:09:47</t>
  </si>
  <si>
    <t>I4_6B_3</t>
  </si>
  <si>
    <t>15.07.2021 12:10:20</t>
  </si>
  <si>
    <t>I4_7A_1</t>
  </si>
  <si>
    <t>15.07.2021 12:10:51</t>
  </si>
  <si>
    <t>I4_7A_2</t>
  </si>
  <si>
    <t>15.07.2021 12:11:24</t>
  </si>
  <si>
    <t>I4_7A_3</t>
  </si>
  <si>
    <t>15.07.2021 12:12:18</t>
  </si>
  <si>
    <t>I4_7B_1</t>
  </si>
  <si>
    <t>15.07.2021 12:12:54</t>
  </si>
  <si>
    <t>I4_7B_3</t>
  </si>
  <si>
    <t>15.07.2021 12:13:37</t>
  </si>
  <si>
    <t>I4_8A_1</t>
  </si>
  <si>
    <t>20.07.2021 11:29:44</t>
  </si>
  <si>
    <t>I4_8A_2</t>
  </si>
  <si>
    <t>20.07.2021 11:30:18</t>
  </si>
  <si>
    <t>I4_8A_3</t>
  </si>
  <si>
    <t>20.07.2021 11:30:47</t>
  </si>
  <si>
    <t>I4_8B_1</t>
  </si>
  <si>
    <t>20.07.2021 11:31:20</t>
  </si>
  <si>
    <t>I4_8B_2</t>
  </si>
  <si>
    <t>20.07.2021 11:31:57</t>
  </si>
  <si>
    <t>I4_8B_3</t>
  </si>
  <si>
    <t>20.07.2021 11:32:36</t>
  </si>
  <si>
    <t>I4_8C_1</t>
  </si>
  <si>
    <t>20.07.2021 11:33:40</t>
  </si>
  <si>
    <t>I4_8C_2</t>
  </si>
  <si>
    <t>20.07.2021 11:34:15</t>
  </si>
  <si>
    <t>I4_8C_3</t>
  </si>
  <si>
    <t>20.07.2021 11:34:49</t>
  </si>
  <si>
    <t>I4_8D_1</t>
  </si>
  <si>
    <t>20.07.2021 11:35:23</t>
  </si>
  <si>
    <t>I4_8D_2</t>
  </si>
  <si>
    <t>20.07.2021 11:35:56</t>
  </si>
  <si>
    <t>I4_8D_3</t>
  </si>
  <si>
    <t>20.07.2021 11:36:27</t>
  </si>
  <si>
    <t>I4_9A_1</t>
  </si>
  <si>
    <t>20.07.2021 11:36:58</t>
  </si>
  <si>
    <t>I4_9A_2</t>
  </si>
  <si>
    <t>20.07.2021 11:37:29</t>
  </si>
  <si>
    <t>I4_9A_3</t>
  </si>
  <si>
    <t>20.07.2021 11:38:01</t>
  </si>
  <si>
    <t>I4_9B_1</t>
  </si>
  <si>
    <t>20.07.2021 11:38:36</t>
  </si>
  <si>
    <t>I4_9B_2</t>
  </si>
  <si>
    <t>20.07.2021 11:39:08</t>
  </si>
  <si>
    <t>I4_9B_3</t>
  </si>
  <si>
    <t>20.07.2021 11:39:40</t>
  </si>
  <si>
    <t>I4_9C_1</t>
  </si>
  <si>
    <t>22.07.2021 11:54:53</t>
  </si>
  <si>
    <t>I4_9C_2</t>
  </si>
  <si>
    <t>22.07.2021 11:55:21</t>
  </si>
  <si>
    <t>I4_9C_3</t>
  </si>
  <si>
    <t>22.07.2021 11:55:51</t>
  </si>
  <si>
    <t>I4_9D_1</t>
  </si>
  <si>
    <t>22.07.2021 11:56:24</t>
  </si>
  <si>
    <t>I4_9D_2</t>
  </si>
  <si>
    <t>22.07.2021 11:56:56</t>
  </si>
  <si>
    <t>I4_9D_3</t>
  </si>
  <si>
    <t>22.07.2021 11:57:39</t>
  </si>
  <si>
    <t>I4_10A_1</t>
  </si>
  <si>
    <t>22.07.2021 11:58:15</t>
  </si>
  <si>
    <t>I4_10A_2</t>
  </si>
  <si>
    <t>22.07.2021 11:58:50</t>
  </si>
  <si>
    <t>I4_10A_3</t>
  </si>
  <si>
    <t>22.07.2021 11:59:24</t>
  </si>
  <si>
    <t>I4_10B_1</t>
  </si>
  <si>
    <t>22.07.2021 11:59:55</t>
  </si>
  <si>
    <t>I4_10B_2</t>
  </si>
  <si>
    <t>22.07.2021 12:00:25</t>
  </si>
  <si>
    <t>I4_10B_3</t>
  </si>
  <si>
    <t>22.07.2021 12:00:59</t>
  </si>
  <si>
    <t>I4_10C_1</t>
  </si>
  <si>
    <t>22.07.2021 12:01:33</t>
  </si>
  <si>
    <t>I4_10C_2</t>
  </si>
  <si>
    <t>22.07.2021 12:02:05</t>
  </si>
  <si>
    <t>I4_10C_3</t>
  </si>
  <si>
    <t>22.07.2021 12:02:39</t>
  </si>
  <si>
    <t>I4_10D_1</t>
  </si>
  <si>
    <t>22.07.2021 12:03:12</t>
  </si>
  <si>
    <t>I4_10D_2</t>
  </si>
  <si>
    <t>22.07.2021 12:03:43</t>
  </si>
  <si>
    <t>I4_10D_3</t>
  </si>
  <si>
    <t>22.07.2021 12:04:17</t>
  </si>
  <si>
    <t>I4_11A_1</t>
  </si>
  <si>
    <t>27.07.2021 11:55:48</t>
  </si>
  <si>
    <t>I4_11A_2</t>
  </si>
  <si>
    <t>27.07.2021 11:56:21</t>
  </si>
  <si>
    <t>I4_11A_3</t>
  </si>
  <si>
    <t>27.07.2021 11:56:53</t>
  </si>
  <si>
    <t>I4_11B_1</t>
  </si>
  <si>
    <t>27.07.2021 11:57:30</t>
  </si>
  <si>
    <t>I4_11B_2</t>
  </si>
  <si>
    <t>27.07.2021 11:58:53</t>
  </si>
  <si>
    <t>I4_11B_3</t>
  </si>
  <si>
    <t>27.07.2021 11:59:20</t>
  </si>
  <si>
    <t>I4_11C_1</t>
  </si>
  <si>
    <t>27.07.2021 11:59:54</t>
  </si>
  <si>
    <t>I4_11C_2</t>
  </si>
  <si>
    <t>27.07.2021 12:00:30</t>
  </si>
  <si>
    <t>I4_11C_3</t>
  </si>
  <si>
    <t>27.07.2021 12:01:02</t>
  </si>
  <si>
    <t>I4_11D_1</t>
  </si>
  <si>
    <t>27.07.2021 12:01:41</t>
  </si>
  <si>
    <t>I4_11D_2</t>
  </si>
  <si>
    <t>27.07.2021 12:02:12</t>
  </si>
  <si>
    <t>I4_11D_3</t>
  </si>
  <si>
    <t>27.07.2021 12:02:47</t>
  </si>
  <si>
    <t>I4_12A_1</t>
  </si>
  <si>
    <t>27.07.2021 12:03:18</t>
  </si>
  <si>
    <t>I4_12A_2</t>
  </si>
  <si>
    <t>27.07.2021 12:03:50</t>
  </si>
  <si>
    <t>I4_12A_3</t>
  </si>
  <si>
    <t>27.07.2021 12:04:22</t>
  </si>
  <si>
    <t>I4_12B_1</t>
  </si>
  <si>
    <t>27.07.2021 12:04:55</t>
  </si>
  <si>
    <t>I4_12B_2</t>
  </si>
  <si>
    <t>27.07.2021 12:05:28</t>
  </si>
  <si>
    <t>27.07.2021 12:06:01</t>
  </si>
  <si>
    <t>I4_12C_1</t>
  </si>
  <si>
    <t>29.07.2021 13:14:05</t>
  </si>
  <si>
    <t>I4_12C_2</t>
  </si>
  <si>
    <t>29.07.2021 13:14:38</t>
  </si>
  <si>
    <t>I4_12C_3</t>
  </si>
  <si>
    <t>29.07.2021 13:15:13</t>
  </si>
  <si>
    <t>I4_12D_1</t>
  </si>
  <si>
    <t>29.07.2021 13:15:45</t>
  </si>
  <si>
    <t>I4_12D_2</t>
  </si>
  <si>
    <t>29.07.2021 13:16:19</t>
  </si>
  <si>
    <t>I4_12D_3</t>
  </si>
  <si>
    <t>29.07.2021 13:16:51</t>
  </si>
  <si>
    <t>I4_13A_1</t>
  </si>
  <si>
    <t>29.07.2021 13:17:46</t>
  </si>
  <si>
    <t>I4_13A_2</t>
  </si>
  <si>
    <t>29.07.2021 13:18:23</t>
  </si>
  <si>
    <t>I4_13A_3</t>
  </si>
  <si>
    <t>29.07.2021 13:18:59</t>
  </si>
  <si>
    <t>I4_13B_1</t>
  </si>
  <si>
    <t>29.07.2021 13:19:36</t>
  </si>
  <si>
    <t>I4_13B_2</t>
  </si>
  <si>
    <t>29.07.2021 13:20:10</t>
  </si>
  <si>
    <t>I4_13B_3</t>
  </si>
  <si>
    <t>29.07.2021 13:20:58</t>
  </si>
  <si>
    <t>I4_13C_1</t>
  </si>
  <si>
    <t>29.07.2021 13:21:32</t>
  </si>
  <si>
    <t>I4_13C_2</t>
  </si>
  <si>
    <t>29.07.2021 13:22:06</t>
  </si>
  <si>
    <t>I4_13C_3</t>
  </si>
  <si>
    <t>29.07.2021 13:22:37</t>
  </si>
  <si>
    <t>I4_13D_1</t>
  </si>
  <si>
    <t>29.07.2021 13:23:11</t>
  </si>
  <si>
    <t>I4_13D_2</t>
  </si>
  <si>
    <t>29.07.2021 13:23:40</t>
  </si>
  <si>
    <t>29.07.2021 13:24:13</t>
  </si>
  <si>
    <t>uL to get 750 ng (0.75 ug)</t>
  </si>
  <si>
    <t>Volume RNA (max 6uL)</t>
  </si>
  <si>
    <t>Volume water</t>
  </si>
  <si>
    <t>INDEX</t>
  </si>
  <si>
    <t>I4_13D_3</t>
  </si>
  <si>
    <t>I4_12B_3</t>
  </si>
  <si>
    <t>MISSING: I4_8B_1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</si>
</sst>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9" formatCode="0.0"/>
  </numFmts>
  <fonts count="20" x14ac:knownFonts="1">
    <font>
      <sz val="10"/>
      <name val="Arial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  <font>
      <sz val="12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DCFF"/>
        <bgColor indexed="64"/>
      </patternFill>
    </fill>
    <fill>
      <patternFill patternType="solid">
        <fgColor rgb="FFDCDCFF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8" fillId="33" borderId="10" xfId="0" applyFont="1" applyFill="1" applyBorder="1"/>
    <xf numFmtId="0" fontId="18" fillId="34" borderId="11" xfId="0" applyFont="1" applyFill="1" applyBorder="1"/>
    <xf numFmtId="164" fontId="0" fillId="0" borderId="0" xfId="0" applyNumberFormat="1"/>
    <xf numFmtId="0" fontId="18" fillId="35" borderId="11" xfId="0" applyFont="1" applyFill="1" applyBorder="1"/>
    <xf numFmtId="0" fontId="18" fillId="33" borderId="11" xfId="0" applyFont="1" applyFill="1" applyBorder="1"/>
    <xf numFmtId="0" fontId="0" fillId="0" borderId="0" xfId="0" applyFill="1"/>
    <xf numFmtId="2" fontId="0" fillId="36" borderId="0" xfId="0" applyNumberFormat="1" applyFill="1"/>
    <xf numFmtId="2" fontId="0" fillId="35" borderId="0" xfId="0" applyNumberFormat="1" applyFill="1"/>
    <xf numFmtId="0" fontId="18" fillId="36" borderId="11" xfId="0" applyFont="1" applyFill="1" applyBorder="1"/>
    <xf numFmtId="0" fontId="19" fillId="0" borderId="12" xfId="0" applyFont="1" applyBorder="1" applyAlignment="1">
      <alignment vertical="center" wrapText="1"/>
    </xf>
    <xf numFmtId="0" fontId="19" fillId="0" borderId="13" xfId="0" applyFont="1" applyBorder="1" applyAlignment="1">
      <alignment vertical="center" wrapText="1"/>
    </xf>
    <xf numFmtId="0" fontId="0" fillId="37" borderId="0" xfId="0" applyFill="1"/>
    <xf numFmtId="169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16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64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4"/>
  <sheetViews>
    <sheetView tabSelected="1" topLeftCell="A4" workbookViewId="0">
      <selection activeCell="B103" sqref="B103"/>
    </sheetView>
  </sheetViews>
  <sheetFormatPr defaultColWidth="11.42578125" defaultRowHeight="12.75" x14ac:dyDescent="0.2"/>
  <cols>
    <col min="2" max="13" width="20" customWidth="1"/>
  </cols>
  <sheetData>
    <row r="1" spans="1:13" ht="12.95" customHeight="1" x14ac:dyDescent="0.2">
      <c r="A1" s="5" t="s">
        <v>239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236</v>
      </c>
      <c r="H1" s="1" t="s">
        <v>5</v>
      </c>
      <c r="I1" s="1" t="s">
        <v>6</v>
      </c>
      <c r="J1" s="4" t="s">
        <v>237</v>
      </c>
      <c r="K1" s="9" t="s">
        <v>238</v>
      </c>
      <c r="L1" s="1" t="s">
        <v>7</v>
      </c>
      <c r="M1" s="1" t="s">
        <v>8</v>
      </c>
    </row>
    <row r="2" spans="1:13" ht="12.95" customHeight="1" x14ac:dyDescent="0.2">
      <c r="A2">
        <v>0</v>
      </c>
      <c r="B2" t="s">
        <v>9</v>
      </c>
      <c r="C2" t="s">
        <v>10</v>
      </c>
      <c r="D2" t="s">
        <v>11</v>
      </c>
      <c r="E2">
        <v>205.8</v>
      </c>
      <c r="F2" t="s">
        <v>12</v>
      </c>
      <c r="G2" s="3">
        <f>750/E2</f>
        <v>3.6443148688046647</v>
      </c>
      <c r="H2">
        <v>2.04</v>
      </c>
      <c r="I2">
        <v>1.06</v>
      </c>
      <c r="J2" s="8">
        <f>IF(G2&gt;=6, 6, G2)</f>
        <v>3.6443148688046647</v>
      </c>
      <c r="K2" s="7">
        <f>6-J2</f>
        <v>2.3556851311953353</v>
      </c>
      <c r="L2" t="s">
        <v>13</v>
      </c>
      <c r="M2">
        <v>40</v>
      </c>
    </row>
    <row r="3" spans="1:13" ht="12.95" customHeight="1" x14ac:dyDescent="0.2">
      <c r="A3" s="6">
        <v>1</v>
      </c>
      <c r="B3" t="s">
        <v>14</v>
      </c>
      <c r="C3" t="s">
        <v>10</v>
      </c>
      <c r="D3" t="s">
        <v>15</v>
      </c>
      <c r="E3">
        <v>276.7</v>
      </c>
      <c r="F3" t="s">
        <v>12</v>
      </c>
      <c r="G3" s="3">
        <f t="shared" ref="G3:G66" si="0">750/E3</f>
        <v>2.7105168052041924</v>
      </c>
      <c r="H3">
        <v>2.21</v>
      </c>
      <c r="I3">
        <v>2.29</v>
      </c>
      <c r="J3" s="8">
        <f t="shared" ref="J3:J66" si="1">IF(G3&gt;=6, 6, G3)</f>
        <v>2.7105168052041924</v>
      </c>
      <c r="K3" s="7">
        <f t="shared" ref="K3:K66" si="2">6-J3</f>
        <v>3.2894831947958076</v>
      </c>
      <c r="L3" t="s">
        <v>13</v>
      </c>
      <c r="M3">
        <v>40</v>
      </c>
    </row>
    <row r="4" spans="1:13" ht="12.95" customHeight="1" x14ac:dyDescent="0.2">
      <c r="A4">
        <v>2</v>
      </c>
      <c r="B4" t="s">
        <v>16</v>
      </c>
      <c r="C4" t="s">
        <v>10</v>
      </c>
      <c r="D4" t="s">
        <v>17</v>
      </c>
      <c r="E4">
        <v>420.8</v>
      </c>
      <c r="F4" t="s">
        <v>12</v>
      </c>
      <c r="G4" s="3">
        <f t="shared" si="0"/>
        <v>1.7823193916349809</v>
      </c>
      <c r="H4">
        <v>2.14</v>
      </c>
      <c r="I4">
        <v>1.97</v>
      </c>
      <c r="J4" s="8">
        <f t="shared" si="1"/>
        <v>1.7823193916349809</v>
      </c>
      <c r="K4" s="7">
        <f t="shared" si="2"/>
        <v>4.2176806083650193</v>
      </c>
      <c r="L4" t="s">
        <v>13</v>
      </c>
      <c r="M4">
        <v>40</v>
      </c>
    </row>
    <row r="5" spans="1:13" ht="12.95" customHeight="1" x14ac:dyDescent="0.2">
      <c r="A5">
        <v>3</v>
      </c>
      <c r="B5" t="s">
        <v>18</v>
      </c>
      <c r="C5" t="s">
        <v>10</v>
      </c>
      <c r="D5" t="s">
        <v>19</v>
      </c>
      <c r="E5">
        <v>278.10000000000002</v>
      </c>
      <c r="F5" t="s">
        <v>12</v>
      </c>
      <c r="G5" s="3">
        <f t="shared" si="0"/>
        <v>2.6968716289104635</v>
      </c>
      <c r="H5">
        <v>2.15</v>
      </c>
      <c r="I5">
        <v>2.04</v>
      </c>
      <c r="J5" s="8">
        <f t="shared" si="1"/>
        <v>2.6968716289104635</v>
      </c>
      <c r="K5" s="7">
        <f t="shared" si="2"/>
        <v>3.3031283710895365</v>
      </c>
      <c r="L5" t="s">
        <v>13</v>
      </c>
      <c r="M5">
        <v>40</v>
      </c>
    </row>
    <row r="6" spans="1:13" ht="12.95" customHeight="1" x14ac:dyDescent="0.2">
      <c r="A6">
        <v>4</v>
      </c>
      <c r="B6" t="s">
        <v>20</v>
      </c>
      <c r="C6" t="s">
        <v>10</v>
      </c>
      <c r="D6" t="s">
        <v>21</v>
      </c>
      <c r="E6">
        <v>219.7</v>
      </c>
      <c r="F6" t="s">
        <v>12</v>
      </c>
      <c r="G6" s="3">
        <f t="shared" si="0"/>
        <v>3.4137460172963134</v>
      </c>
      <c r="H6">
        <v>2.15</v>
      </c>
      <c r="I6">
        <v>2.2000000000000002</v>
      </c>
      <c r="J6" s="8">
        <f t="shared" si="1"/>
        <v>3.4137460172963134</v>
      </c>
      <c r="K6" s="7">
        <f t="shared" si="2"/>
        <v>2.5862539827036866</v>
      </c>
      <c r="L6" t="s">
        <v>13</v>
      </c>
      <c r="M6">
        <v>40</v>
      </c>
    </row>
    <row r="7" spans="1:13" ht="12.95" customHeight="1" x14ac:dyDescent="0.2">
      <c r="A7">
        <v>5</v>
      </c>
      <c r="B7" t="s">
        <v>22</v>
      </c>
      <c r="C7" t="s">
        <v>10</v>
      </c>
      <c r="D7" t="s">
        <v>23</v>
      </c>
      <c r="E7">
        <v>335.1</v>
      </c>
      <c r="F7" t="s">
        <v>12</v>
      </c>
      <c r="G7" s="3">
        <f t="shared" si="0"/>
        <v>2.2381378692927485</v>
      </c>
      <c r="H7">
        <v>2.16</v>
      </c>
      <c r="I7">
        <v>2.2000000000000002</v>
      </c>
      <c r="J7" s="8">
        <f t="shared" si="1"/>
        <v>2.2381378692927485</v>
      </c>
      <c r="K7" s="7">
        <f t="shared" si="2"/>
        <v>3.7618621307072515</v>
      </c>
      <c r="L7" t="s">
        <v>13</v>
      </c>
      <c r="M7">
        <v>40</v>
      </c>
    </row>
    <row r="8" spans="1:13" ht="12.95" customHeight="1" x14ac:dyDescent="0.2">
      <c r="A8">
        <v>6</v>
      </c>
      <c r="B8" t="s">
        <v>24</v>
      </c>
      <c r="C8" t="s">
        <v>10</v>
      </c>
      <c r="D8" t="s">
        <v>25</v>
      </c>
      <c r="E8">
        <v>443.8</v>
      </c>
      <c r="F8" t="s">
        <v>12</v>
      </c>
      <c r="G8" s="3">
        <f t="shared" si="0"/>
        <v>1.6899504281207751</v>
      </c>
      <c r="H8">
        <v>2.17</v>
      </c>
      <c r="I8">
        <v>1.79</v>
      </c>
      <c r="J8" s="8">
        <f t="shared" si="1"/>
        <v>1.6899504281207751</v>
      </c>
      <c r="K8" s="7">
        <f t="shared" si="2"/>
        <v>4.3100495718792251</v>
      </c>
      <c r="L8" t="s">
        <v>13</v>
      </c>
      <c r="M8">
        <v>40</v>
      </c>
    </row>
    <row r="9" spans="1:13" ht="12.95" customHeight="1" x14ac:dyDescent="0.2">
      <c r="A9">
        <v>7</v>
      </c>
      <c r="B9" t="s">
        <v>26</v>
      </c>
      <c r="C9" t="s">
        <v>10</v>
      </c>
      <c r="D9" t="s">
        <v>27</v>
      </c>
      <c r="E9">
        <v>329.7</v>
      </c>
      <c r="F9" t="s">
        <v>12</v>
      </c>
      <c r="G9" s="3">
        <f t="shared" si="0"/>
        <v>2.2747952684258417</v>
      </c>
      <c r="H9">
        <v>2.16</v>
      </c>
      <c r="I9">
        <v>1.74</v>
      </c>
      <c r="J9" s="8">
        <f t="shared" si="1"/>
        <v>2.2747952684258417</v>
      </c>
      <c r="K9" s="7">
        <f t="shared" si="2"/>
        <v>3.7252047315741583</v>
      </c>
      <c r="L9" t="s">
        <v>13</v>
      </c>
      <c r="M9">
        <v>40</v>
      </c>
    </row>
    <row r="10" spans="1:13" ht="12.95" customHeight="1" x14ac:dyDescent="0.2">
      <c r="A10">
        <v>8</v>
      </c>
      <c r="B10" t="s">
        <v>28</v>
      </c>
      <c r="C10" t="s">
        <v>10</v>
      </c>
      <c r="D10" t="s">
        <v>29</v>
      </c>
      <c r="E10">
        <v>245.2</v>
      </c>
      <c r="F10" t="s">
        <v>12</v>
      </c>
      <c r="G10" s="3">
        <f t="shared" si="0"/>
        <v>3.0587275693311584</v>
      </c>
      <c r="H10">
        <v>2.15</v>
      </c>
      <c r="I10">
        <v>2.2400000000000002</v>
      </c>
      <c r="J10" s="8">
        <f t="shared" si="1"/>
        <v>3.0587275693311584</v>
      </c>
      <c r="K10" s="7">
        <f t="shared" si="2"/>
        <v>2.9412724306688416</v>
      </c>
      <c r="L10" t="s">
        <v>13</v>
      </c>
      <c r="M10">
        <v>40</v>
      </c>
    </row>
    <row r="11" spans="1:13" ht="12.95" customHeight="1" x14ac:dyDescent="0.2">
      <c r="A11">
        <v>9</v>
      </c>
      <c r="B11" t="s">
        <v>30</v>
      </c>
      <c r="C11" t="s">
        <v>10</v>
      </c>
      <c r="D11" t="s">
        <v>31</v>
      </c>
      <c r="E11">
        <v>632.4</v>
      </c>
      <c r="F11" t="s">
        <v>12</v>
      </c>
      <c r="G11" s="3">
        <f t="shared" si="0"/>
        <v>1.1859582542694498</v>
      </c>
      <c r="H11">
        <v>2.15</v>
      </c>
      <c r="I11">
        <v>2.0099999999999998</v>
      </c>
      <c r="J11" s="8">
        <f t="shared" si="1"/>
        <v>1.1859582542694498</v>
      </c>
      <c r="K11" s="7">
        <f t="shared" si="2"/>
        <v>4.8140417457305507</v>
      </c>
      <c r="L11" t="s">
        <v>13</v>
      </c>
      <c r="M11">
        <v>40</v>
      </c>
    </row>
    <row r="12" spans="1:13" ht="12.95" customHeight="1" x14ac:dyDescent="0.2">
      <c r="A12">
        <v>10</v>
      </c>
      <c r="B12" t="s">
        <v>32</v>
      </c>
      <c r="C12" t="s">
        <v>10</v>
      </c>
      <c r="D12" t="s">
        <v>33</v>
      </c>
      <c r="E12">
        <v>251.8</v>
      </c>
      <c r="F12" t="s">
        <v>12</v>
      </c>
      <c r="G12" s="3">
        <f t="shared" si="0"/>
        <v>2.978554408260524</v>
      </c>
      <c r="H12">
        <v>2.16</v>
      </c>
      <c r="I12">
        <v>2.04</v>
      </c>
      <c r="J12" s="8">
        <f t="shared" si="1"/>
        <v>2.978554408260524</v>
      </c>
      <c r="K12" s="7">
        <f t="shared" si="2"/>
        <v>3.021445591739476</v>
      </c>
      <c r="L12" t="s">
        <v>13</v>
      </c>
      <c r="M12">
        <v>40</v>
      </c>
    </row>
    <row r="13" spans="1:13" ht="12.95" customHeight="1" x14ac:dyDescent="0.2">
      <c r="A13">
        <v>11</v>
      </c>
      <c r="B13" t="s">
        <v>34</v>
      </c>
      <c r="C13" t="s">
        <v>10</v>
      </c>
      <c r="D13" t="s">
        <v>35</v>
      </c>
      <c r="E13">
        <v>547.5</v>
      </c>
      <c r="F13" t="s">
        <v>12</v>
      </c>
      <c r="G13" s="3">
        <f t="shared" si="0"/>
        <v>1.3698630136986301</v>
      </c>
      <c r="H13">
        <v>2.14</v>
      </c>
      <c r="I13">
        <v>2.39</v>
      </c>
      <c r="J13" s="8">
        <f t="shared" si="1"/>
        <v>1.3698630136986301</v>
      </c>
      <c r="K13" s="7">
        <f t="shared" si="2"/>
        <v>4.6301369863013697</v>
      </c>
      <c r="L13" t="s">
        <v>13</v>
      </c>
      <c r="M13">
        <v>40</v>
      </c>
    </row>
    <row r="14" spans="1:13" ht="12.95" customHeight="1" x14ac:dyDescent="0.2">
      <c r="A14">
        <v>12</v>
      </c>
      <c r="B14" t="s">
        <v>36</v>
      </c>
      <c r="C14" t="s">
        <v>10</v>
      </c>
      <c r="D14" t="s">
        <v>37</v>
      </c>
      <c r="E14">
        <v>304.5</v>
      </c>
      <c r="F14" t="s">
        <v>12</v>
      </c>
      <c r="G14" s="3">
        <f t="shared" si="0"/>
        <v>2.4630541871921183</v>
      </c>
      <c r="H14">
        <v>2.17</v>
      </c>
      <c r="I14">
        <v>2.14</v>
      </c>
      <c r="J14" s="8">
        <f t="shared" si="1"/>
        <v>2.4630541871921183</v>
      </c>
      <c r="K14" s="7">
        <f t="shared" si="2"/>
        <v>3.5369458128078817</v>
      </c>
      <c r="L14" t="s">
        <v>13</v>
      </c>
      <c r="M14">
        <v>40</v>
      </c>
    </row>
    <row r="15" spans="1:13" ht="12.95" customHeight="1" x14ac:dyDescent="0.2">
      <c r="A15">
        <v>13</v>
      </c>
      <c r="B15" t="s">
        <v>38</v>
      </c>
      <c r="C15" t="s">
        <v>10</v>
      </c>
      <c r="D15" t="s">
        <v>39</v>
      </c>
      <c r="E15">
        <v>204.4</v>
      </c>
      <c r="F15" t="s">
        <v>12</v>
      </c>
      <c r="G15" s="3">
        <f t="shared" si="0"/>
        <v>3.6692759295499022</v>
      </c>
      <c r="H15">
        <v>2.14</v>
      </c>
      <c r="I15">
        <v>1.75</v>
      </c>
      <c r="J15" s="8">
        <f t="shared" si="1"/>
        <v>3.6692759295499022</v>
      </c>
      <c r="K15" s="7">
        <f t="shared" si="2"/>
        <v>2.3307240704500978</v>
      </c>
      <c r="L15" t="s">
        <v>13</v>
      </c>
      <c r="M15">
        <v>40</v>
      </c>
    </row>
    <row r="16" spans="1:13" ht="12.95" customHeight="1" x14ac:dyDescent="0.2">
      <c r="A16">
        <v>14</v>
      </c>
      <c r="B16" t="s">
        <v>40</v>
      </c>
      <c r="C16" t="s">
        <v>10</v>
      </c>
      <c r="D16" t="s">
        <v>41</v>
      </c>
      <c r="E16">
        <v>318</v>
      </c>
      <c r="F16" t="s">
        <v>12</v>
      </c>
      <c r="G16" s="3">
        <f t="shared" si="0"/>
        <v>2.358490566037736</v>
      </c>
      <c r="H16">
        <v>2.16</v>
      </c>
      <c r="I16">
        <v>2.2400000000000002</v>
      </c>
      <c r="J16" s="8">
        <f t="shared" si="1"/>
        <v>2.358490566037736</v>
      </c>
      <c r="K16" s="7">
        <f t="shared" si="2"/>
        <v>3.641509433962264</v>
      </c>
      <c r="L16" t="s">
        <v>13</v>
      </c>
      <c r="M16">
        <v>40</v>
      </c>
    </row>
    <row r="17" spans="1:13" ht="12.95" customHeight="1" x14ac:dyDescent="0.2">
      <c r="A17">
        <v>15</v>
      </c>
      <c r="B17" t="s">
        <v>42</v>
      </c>
      <c r="C17" t="s">
        <v>10</v>
      </c>
      <c r="D17" t="s">
        <v>43</v>
      </c>
      <c r="E17">
        <v>442.2</v>
      </c>
      <c r="F17" t="s">
        <v>12</v>
      </c>
      <c r="G17" s="3">
        <f t="shared" si="0"/>
        <v>1.6960651289009498</v>
      </c>
      <c r="H17">
        <v>2.16</v>
      </c>
      <c r="I17">
        <v>2.09</v>
      </c>
      <c r="J17" s="8">
        <f t="shared" si="1"/>
        <v>1.6960651289009498</v>
      </c>
      <c r="K17" s="7">
        <f t="shared" si="2"/>
        <v>4.3039348710990506</v>
      </c>
      <c r="L17" t="s">
        <v>13</v>
      </c>
      <c r="M17">
        <v>40</v>
      </c>
    </row>
    <row r="18" spans="1:13" ht="12.95" customHeight="1" x14ac:dyDescent="0.2">
      <c r="A18">
        <v>16</v>
      </c>
      <c r="B18" t="s">
        <v>44</v>
      </c>
      <c r="C18" t="s">
        <v>10</v>
      </c>
      <c r="D18" t="s">
        <v>45</v>
      </c>
      <c r="E18">
        <v>411.6</v>
      </c>
      <c r="F18" t="s">
        <v>12</v>
      </c>
      <c r="G18" s="3">
        <f t="shared" si="0"/>
        <v>1.8221574344023324</v>
      </c>
      <c r="H18">
        <v>2.16</v>
      </c>
      <c r="I18">
        <v>2.17</v>
      </c>
      <c r="J18" s="8">
        <f t="shared" si="1"/>
        <v>1.8221574344023324</v>
      </c>
      <c r="K18" s="7">
        <f t="shared" si="2"/>
        <v>4.1778425655976674</v>
      </c>
      <c r="L18" t="s">
        <v>13</v>
      </c>
      <c r="M18">
        <v>40</v>
      </c>
    </row>
    <row r="19" spans="1:13" ht="12.95" customHeight="1" x14ac:dyDescent="0.2">
      <c r="A19">
        <v>17</v>
      </c>
      <c r="B19" t="s">
        <v>46</v>
      </c>
      <c r="C19" t="s">
        <v>10</v>
      </c>
      <c r="D19" t="s">
        <v>47</v>
      </c>
      <c r="E19">
        <v>280</v>
      </c>
      <c r="F19" t="s">
        <v>12</v>
      </c>
      <c r="G19" s="3">
        <f t="shared" si="0"/>
        <v>2.6785714285714284</v>
      </c>
      <c r="H19">
        <v>2.16</v>
      </c>
      <c r="I19">
        <v>2.16</v>
      </c>
      <c r="J19" s="8">
        <f t="shared" si="1"/>
        <v>2.6785714285714284</v>
      </c>
      <c r="K19" s="7">
        <f t="shared" si="2"/>
        <v>3.3214285714285716</v>
      </c>
      <c r="L19" t="s">
        <v>13</v>
      </c>
      <c r="M19">
        <v>40</v>
      </c>
    </row>
    <row r="20" spans="1:13" ht="12.95" customHeight="1" x14ac:dyDescent="0.2">
      <c r="A20">
        <v>18</v>
      </c>
      <c r="B20" t="s">
        <v>48</v>
      </c>
      <c r="C20" t="s">
        <v>10</v>
      </c>
      <c r="D20" t="s">
        <v>49</v>
      </c>
      <c r="E20">
        <v>687.4</v>
      </c>
      <c r="F20" t="s">
        <v>12</v>
      </c>
      <c r="G20" s="3">
        <f t="shared" si="0"/>
        <v>1.0910677916787896</v>
      </c>
      <c r="H20">
        <v>2.13</v>
      </c>
      <c r="I20">
        <v>2.33</v>
      </c>
      <c r="J20" s="8">
        <f t="shared" si="1"/>
        <v>1.0910677916787896</v>
      </c>
      <c r="K20" s="7">
        <f t="shared" si="2"/>
        <v>4.9089322083212101</v>
      </c>
      <c r="L20" t="s">
        <v>13</v>
      </c>
      <c r="M20">
        <v>40</v>
      </c>
    </row>
    <row r="21" spans="1:13" ht="12.95" customHeight="1" x14ac:dyDescent="0.2">
      <c r="A21">
        <v>19</v>
      </c>
      <c r="B21" t="s">
        <v>50</v>
      </c>
      <c r="C21" t="s">
        <v>10</v>
      </c>
      <c r="D21" t="s">
        <v>51</v>
      </c>
      <c r="E21">
        <v>77.3</v>
      </c>
      <c r="F21" t="s">
        <v>12</v>
      </c>
      <c r="G21" s="3">
        <f t="shared" si="0"/>
        <v>9.7024579560155235</v>
      </c>
      <c r="H21">
        <v>2.12</v>
      </c>
      <c r="I21">
        <v>2.04</v>
      </c>
      <c r="J21" s="8">
        <f t="shared" si="1"/>
        <v>6</v>
      </c>
      <c r="K21" s="7">
        <f t="shared" si="2"/>
        <v>0</v>
      </c>
      <c r="L21" t="s">
        <v>13</v>
      </c>
      <c r="M21">
        <v>40</v>
      </c>
    </row>
    <row r="22" spans="1:13" ht="12.95" customHeight="1" x14ac:dyDescent="0.2">
      <c r="A22">
        <v>20</v>
      </c>
      <c r="B22" t="s">
        <v>52</v>
      </c>
      <c r="C22" t="s">
        <v>10</v>
      </c>
      <c r="D22" t="s">
        <v>53</v>
      </c>
      <c r="E22">
        <v>343.6</v>
      </c>
      <c r="F22" t="s">
        <v>12</v>
      </c>
      <c r="G22" s="3">
        <f t="shared" si="0"/>
        <v>2.1827706635622817</v>
      </c>
      <c r="H22">
        <v>2.16</v>
      </c>
      <c r="I22">
        <v>2.13</v>
      </c>
      <c r="J22" s="8">
        <f t="shared" si="1"/>
        <v>2.1827706635622817</v>
      </c>
      <c r="K22" s="7">
        <f t="shared" si="2"/>
        <v>3.8172293364377183</v>
      </c>
      <c r="L22" t="s">
        <v>13</v>
      </c>
      <c r="M22">
        <v>40</v>
      </c>
    </row>
    <row r="23" spans="1:13" ht="12.95" customHeight="1" x14ac:dyDescent="0.2">
      <c r="A23">
        <v>21</v>
      </c>
      <c r="B23" t="s">
        <v>54</v>
      </c>
      <c r="C23" t="s">
        <v>10</v>
      </c>
      <c r="D23" t="s">
        <v>55</v>
      </c>
      <c r="E23">
        <v>113.1</v>
      </c>
      <c r="F23" t="s">
        <v>12</v>
      </c>
      <c r="G23" s="3">
        <f t="shared" si="0"/>
        <v>6.6312997347480112</v>
      </c>
      <c r="H23">
        <v>2.17</v>
      </c>
      <c r="I23">
        <v>0.77</v>
      </c>
      <c r="J23" s="8">
        <f t="shared" si="1"/>
        <v>6</v>
      </c>
      <c r="K23" s="7">
        <f t="shared" si="2"/>
        <v>0</v>
      </c>
      <c r="L23" t="s">
        <v>13</v>
      </c>
      <c r="M23">
        <v>40</v>
      </c>
    </row>
    <row r="24" spans="1:13" ht="12.95" customHeight="1" x14ac:dyDescent="0.2">
      <c r="A24">
        <v>22</v>
      </c>
      <c r="B24" t="s">
        <v>56</v>
      </c>
      <c r="C24" t="s">
        <v>10</v>
      </c>
      <c r="D24" t="s">
        <v>57</v>
      </c>
      <c r="E24">
        <v>166.1</v>
      </c>
      <c r="F24" t="s">
        <v>12</v>
      </c>
      <c r="G24" s="3">
        <f t="shared" si="0"/>
        <v>4.5153521974714028</v>
      </c>
      <c r="H24">
        <v>2.14</v>
      </c>
      <c r="I24">
        <v>2.29</v>
      </c>
      <c r="J24" s="8">
        <f t="shared" si="1"/>
        <v>4.5153521974714028</v>
      </c>
      <c r="K24" s="7">
        <f t="shared" si="2"/>
        <v>1.4846478025285972</v>
      </c>
      <c r="L24" t="s">
        <v>13</v>
      </c>
      <c r="M24">
        <v>40</v>
      </c>
    </row>
    <row r="25" spans="1:13" ht="12.95" customHeight="1" x14ac:dyDescent="0.2">
      <c r="A25">
        <v>23</v>
      </c>
      <c r="B25" t="s">
        <v>58</v>
      </c>
      <c r="C25" t="s">
        <v>10</v>
      </c>
      <c r="D25" t="s">
        <v>59</v>
      </c>
      <c r="E25">
        <v>679.9</v>
      </c>
      <c r="F25" t="s">
        <v>12</v>
      </c>
      <c r="G25" s="3">
        <f t="shared" si="0"/>
        <v>1.1031033975584645</v>
      </c>
      <c r="H25">
        <v>2.16</v>
      </c>
      <c r="I25">
        <v>2.13</v>
      </c>
      <c r="J25" s="8">
        <f t="shared" si="1"/>
        <v>1.1031033975584645</v>
      </c>
      <c r="K25" s="7">
        <f t="shared" si="2"/>
        <v>4.8968966024415357</v>
      </c>
      <c r="L25" t="s">
        <v>13</v>
      </c>
      <c r="M25">
        <v>40</v>
      </c>
    </row>
    <row r="26" spans="1:13" ht="12.95" customHeight="1" x14ac:dyDescent="0.2">
      <c r="A26">
        <v>24</v>
      </c>
      <c r="B26" t="s">
        <v>60</v>
      </c>
      <c r="C26" t="s">
        <v>10</v>
      </c>
      <c r="D26" t="s">
        <v>61</v>
      </c>
      <c r="E26">
        <v>585.29999999999995</v>
      </c>
      <c r="F26" t="s">
        <v>12</v>
      </c>
      <c r="G26" s="3">
        <f t="shared" si="0"/>
        <v>1.2813941568426448</v>
      </c>
      <c r="H26">
        <v>2.12</v>
      </c>
      <c r="I26">
        <v>2.31</v>
      </c>
      <c r="J26" s="8">
        <f t="shared" si="1"/>
        <v>1.2813941568426448</v>
      </c>
      <c r="K26" s="7">
        <f t="shared" si="2"/>
        <v>4.7186058431573557</v>
      </c>
      <c r="L26" t="s">
        <v>13</v>
      </c>
      <c r="M26">
        <v>40</v>
      </c>
    </row>
    <row r="27" spans="1:13" ht="12.95" customHeight="1" x14ac:dyDescent="0.2">
      <c r="A27">
        <v>25</v>
      </c>
      <c r="B27" t="s">
        <v>62</v>
      </c>
      <c r="C27" t="s">
        <v>10</v>
      </c>
      <c r="D27" t="s">
        <v>63</v>
      </c>
      <c r="E27">
        <v>187.7</v>
      </c>
      <c r="F27" t="s">
        <v>12</v>
      </c>
      <c r="G27" s="3">
        <f t="shared" si="0"/>
        <v>3.9957378795950986</v>
      </c>
      <c r="H27">
        <v>2.14</v>
      </c>
      <c r="I27">
        <v>2.13</v>
      </c>
      <c r="J27" s="8">
        <f t="shared" si="1"/>
        <v>3.9957378795950986</v>
      </c>
      <c r="K27" s="7">
        <f t="shared" si="2"/>
        <v>2.0042621204049014</v>
      </c>
      <c r="L27" t="s">
        <v>13</v>
      </c>
      <c r="M27">
        <v>40</v>
      </c>
    </row>
    <row r="28" spans="1:13" ht="12.95" customHeight="1" x14ac:dyDescent="0.2">
      <c r="A28">
        <v>26</v>
      </c>
      <c r="B28" t="s">
        <v>64</v>
      </c>
      <c r="C28" t="s">
        <v>10</v>
      </c>
      <c r="D28" t="s">
        <v>65</v>
      </c>
      <c r="E28">
        <v>237.9</v>
      </c>
      <c r="F28" t="s">
        <v>12</v>
      </c>
      <c r="G28" s="3">
        <f t="shared" si="0"/>
        <v>3.1525851197982346</v>
      </c>
      <c r="H28">
        <v>2.17</v>
      </c>
      <c r="I28">
        <v>2.2599999999999998</v>
      </c>
      <c r="J28" s="8">
        <f t="shared" si="1"/>
        <v>3.1525851197982346</v>
      </c>
      <c r="K28" s="7">
        <f t="shared" si="2"/>
        <v>2.8474148802017654</v>
      </c>
      <c r="L28" t="s">
        <v>13</v>
      </c>
      <c r="M28">
        <v>40</v>
      </c>
    </row>
    <row r="29" spans="1:13" ht="12.95" customHeight="1" x14ac:dyDescent="0.2">
      <c r="A29">
        <v>27</v>
      </c>
      <c r="B29" t="s">
        <v>66</v>
      </c>
      <c r="C29" t="s">
        <v>10</v>
      </c>
      <c r="D29" t="s">
        <v>67</v>
      </c>
      <c r="E29">
        <v>115.9</v>
      </c>
      <c r="F29" t="s">
        <v>12</v>
      </c>
      <c r="G29" s="3">
        <f t="shared" si="0"/>
        <v>6.4710957722174287</v>
      </c>
      <c r="H29">
        <v>2.15</v>
      </c>
      <c r="I29">
        <v>2.27</v>
      </c>
      <c r="J29" s="8">
        <f t="shared" si="1"/>
        <v>6</v>
      </c>
      <c r="K29" s="7">
        <f t="shared" si="2"/>
        <v>0</v>
      </c>
      <c r="L29" t="s">
        <v>13</v>
      </c>
      <c r="M29">
        <v>40</v>
      </c>
    </row>
    <row r="30" spans="1:13" ht="12.95" customHeight="1" x14ac:dyDescent="0.2">
      <c r="A30">
        <v>28</v>
      </c>
      <c r="B30" t="s">
        <v>68</v>
      </c>
      <c r="C30" t="s">
        <v>10</v>
      </c>
      <c r="D30" t="s">
        <v>69</v>
      </c>
      <c r="E30">
        <v>178</v>
      </c>
      <c r="F30" t="s">
        <v>12</v>
      </c>
      <c r="G30" s="3">
        <f t="shared" si="0"/>
        <v>4.213483146067416</v>
      </c>
      <c r="H30">
        <v>2.15</v>
      </c>
      <c r="I30">
        <v>1.27</v>
      </c>
      <c r="J30" s="8">
        <f t="shared" si="1"/>
        <v>4.213483146067416</v>
      </c>
      <c r="K30" s="7">
        <f t="shared" si="2"/>
        <v>1.786516853932584</v>
      </c>
      <c r="L30" t="s">
        <v>13</v>
      </c>
      <c r="M30">
        <v>40</v>
      </c>
    </row>
    <row r="31" spans="1:13" ht="12.95" customHeight="1" x14ac:dyDescent="0.2">
      <c r="A31">
        <v>29</v>
      </c>
      <c r="B31" t="s">
        <v>70</v>
      </c>
      <c r="C31" t="s">
        <v>10</v>
      </c>
      <c r="D31" t="s">
        <v>71</v>
      </c>
      <c r="E31">
        <v>431.2</v>
      </c>
      <c r="F31" t="s">
        <v>12</v>
      </c>
      <c r="G31" s="3">
        <f t="shared" si="0"/>
        <v>1.7393320964749537</v>
      </c>
      <c r="H31">
        <v>2.16</v>
      </c>
      <c r="I31">
        <v>1.85</v>
      </c>
      <c r="J31" s="8">
        <f t="shared" si="1"/>
        <v>1.7393320964749537</v>
      </c>
      <c r="K31" s="7">
        <f t="shared" si="2"/>
        <v>4.2606679035250465</v>
      </c>
      <c r="L31" t="s">
        <v>13</v>
      </c>
      <c r="M31">
        <v>40</v>
      </c>
    </row>
    <row r="32" spans="1:13" ht="12.95" customHeight="1" x14ac:dyDescent="0.2">
      <c r="A32">
        <v>30</v>
      </c>
      <c r="B32" t="s">
        <v>72</v>
      </c>
      <c r="C32" t="s">
        <v>10</v>
      </c>
      <c r="D32" t="s">
        <v>73</v>
      </c>
      <c r="E32">
        <v>170</v>
      </c>
      <c r="F32" t="s">
        <v>12</v>
      </c>
      <c r="G32" s="3">
        <f t="shared" si="0"/>
        <v>4.4117647058823533</v>
      </c>
      <c r="H32">
        <v>2.15</v>
      </c>
      <c r="I32">
        <v>1.21</v>
      </c>
      <c r="J32" s="8">
        <f t="shared" si="1"/>
        <v>4.4117647058823533</v>
      </c>
      <c r="K32" s="7">
        <f t="shared" si="2"/>
        <v>1.5882352941176467</v>
      </c>
      <c r="L32" t="s">
        <v>13</v>
      </c>
      <c r="M32">
        <v>40</v>
      </c>
    </row>
    <row r="33" spans="1:13" ht="12.95" customHeight="1" x14ac:dyDescent="0.2">
      <c r="A33">
        <v>31</v>
      </c>
      <c r="B33" t="s">
        <v>74</v>
      </c>
      <c r="C33" t="s">
        <v>10</v>
      </c>
      <c r="D33" t="s">
        <v>75</v>
      </c>
      <c r="E33">
        <v>88.5</v>
      </c>
      <c r="F33" t="s">
        <v>12</v>
      </c>
      <c r="G33" s="3">
        <f t="shared" si="0"/>
        <v>8.4745762711864412</v>
      </c>
      <c r="H33">
        <v>2.13</v>
      </c>
      <c r="I33">
        <v>1.96</v>
      </c>
      <c r="J33" s="8">
        <f t="shared" si="1"/>
        <v>6</v>
      </c>
      <c r="K33" s="7">
        <f t="shared" si="2"/>
        <v>0</v>
      </c>
      <c r="L33" t="s">
        <v>13</v>
      </c>
      <c r="M33">
        <v>40</v>
      </c>
    </row>
    <row r="34" spans="1:13" ht="12.95" customHeight="1" x14ac:dyDescent="0.2">
      <c r="A34">
        <v>32</v>
      </c>
      <c r="B34" t="s">
        <v>76</v>
      </c>
      <c r="C34" t="s">
        <v>10</v>
      </c>
      <c r="D34" t="s">
        <v>77</v>
      </c>
      <c r="E34">
        <v>410.6</v>
      </c>
      <c r="F34" t="s">
        <v>12</v>
      </c>
      <c r="G34" s="3">
        <f t="shared" si="0"/>
        <v>1.826595226497808</v>
      </c>
      <c r="H34">
        <v>2.15</v>
      </c>
      <c r="I34">
        <v>1.88</v>
      </c>
      <c r="J34" s="8">
        <f t="shared" si="1"/>
        <v>1.826595226497808</v>
      </c>
      <c r="K34" s="7">
        <f t="shared" si="2"/>
        <v>4.1734047735021917</v>
      </c>
      <c r="L34" t="s">
        <v>13</v>
      </c>
      <c r="M34">
        <v>40</v>
      </c>
    </row>
    <row r="35" spans="1:13" ht="12.95" customHeight="1" x14ac:dyDescent="0.2">
      <c r="A35">
        <v>33</v>
      </c>
      <c r="B35" t="s">
        <v>78</v>
      </c>
      <c r="C35" t="s">
        <v>10</v>
      </c>
      <c r="D35" t="s">
        <v>79</v>
      </c>
      <c r="E35">
        <v>211.6</v>
      </c>
      <c r="F35" t="s">
        <v>12</v>
      </c>
      <c r="G35" s="3">
        <f t="shared" si="0"/>
        <v>3.5444234404536865</v>
      </c>
      <c r="H35">
        <v>2.16</v>
      </c>
      <c r="I35">
        <v>1.95</v>
      </c>
      <c r="J35" s="8">
        <f t="shared" si="1"/>
        <v>3.5444234404536865</v>
      </c>
      <c r="K35" s="7">
        <f t="shared" si="2"/>
        <v>2.4555765595463135</v>
      </c>
      <c r="L35" t="s">
        <v>13</v>
      </c>
      <c r="M35">
        <v>40</v>
      </c>
    </row>
    <row r="36" spans="1:13" ht="12.95" customHeight="1" x14ac:dyDescent="0.2">
      <c r="A36">
        <v>34</v>
      </c>
      <c r="B36" t="s">
        <v>80</v>
      </c>
      <c r="C36" t="s">
        <v>10</v>
      </c>
      <c r="D36" t="s">
        <v>81</v>
      </c>
      <c r="E36">
        <v>369.2</v>
      </c>
      <c r="F36" t="s">
        <v>12</v>
      </c>
      <c r="G36" s="3">
        <f t="shared" si="0"/>
        <v>2.0314192849404118</v>
      </c>
      <c r="H36">
        <v>2.15</v>
      </c>
      <c r="I36">
        <v>2.29</v>
      </c>
      <c r="J36" s="8">
        <f t="shared" si="1"/>
        <v>2.0314192849404118</v>
      </c>
      <c r="K36" s="7">
        <f t="shared" si="2"/>
        <v>3.9685807150595882</v>
      </c>
      <c r="L36" t="s">
        <v>13</v>
      </c>
      <c r="M36">
        <v>40</v>
      </c>
    </row>
    <row r="37" spans="1:13" ht="12.95" customHeight="1" x14ac:dyDescent="0.2">
      <c r="A37">
        <v>35</v>
      </c>
      <c r="B37" t="s">
        <v>82</v>
      </c>
      <c r="C37" t="s">
        <v>10</v>
      </c>
      <c r="D37" t="s">
        <v>83</v>
      </c>
      <c r="E37">
        <v>368.4</v>
      </c>
      <c r="F37" t="s">
        <v>12</v>
      </c>
      <c r="G37" s="3">
        <f t="shared" si="0"/>
        <v>2.0358306188925082</v>
      </c>
      <c r="H37">
        <v>2.15</v>
      </c>
      <c r="I37">
        <v>1.79</v>
      </c>
      <c r="J37" s="8">
        <f t="shared" si="1"/>
        <v>2.0358306188925082</v>
      </c>
      <c r="K37" s="7">
        <f t="shared" si="2"/>
        <v>3.9641693811074918</v>
      </c>
      <c r="L37" t="s">
        <v>13</v>
      </c>
      <c r="M37">
        <v>40</v>
      </c>
    </row>
    <row r="38" spans="1:13" ht="12.95" customHeight="1" x14ac:dyDescent="0.2">
      <c r="A38">
        <v>36</v>
      </c>
      <c r="B38" t="s">
        <v>84</v>
      </c>
      <c r="C38" t="s">
        <v>10</v>
      </c>
      <c r="D38" t="s">
        <v>85</v>
      </c>
      <c r="E38">
        <v>240.2</v>
      </c>
      <c r="F38" t="s">
        <v>12</v>
      </c>
      <c r="G38" s="3">
        <f t="shared" si="0"/>
        <v>3.122398001665279</v>
      </c>
      <c r="H38">
        <v>2.13</v>
      </c>
      <c r="I38">
        <v>2.19</v>
      </c>
      <c r="J38" s="8">
        <f t="shared" si="1"/>
        <v>3.122398001665279</v>
      </c>
      <c r="K38" s="7">
        <f t="shared" si="2"/>
        <v>2.877601998334721</v>
      </c>
      <c r="L38" t="s">
        <v>13</v>
      </c>
      <c r="M38">
        <v>40</v>
      </c>
    </row>
    <row r="39" spans="1:13" ht="12.95" customHeight="1" x14ac:dyDescent="0.2">
      <c r="A39">
        <v>37</v>
      </c>
      <c r="B39" t="s">
        <v>86</v>
      </c>
      <c r="C39" t="s">
        <v>10</v>
      </c>
      <c r="D39" t="s">
        <v>87</v>
      </c>
      <c r="E39">
        <v>297.8</v>
      </c>
      <c r="F39" t="s">
        <v>12</v>
      </c>
      <c r="G39" s="3">
        <f t="shared" si="0"/>
        <v>2.5184687709872398</v>
      </c>
      <c r="H39">
        <v>2.15</v>
      </c>
      <c r="I39">
        <v>2.12</v>
      </c>
      <c r="J39" s="8">
        <f t="shared" si="1"/>
        <v>2.5184687709872398</v>
      </c>
      <c r="K39" s="7">
        <f t="shared" si="2"/>
        <v>3.4815312290127602</v>
      </c>
      <c r="L39" t="s">
        <v>13</v>
      </c>
      <c r="M39">
        <v>40</v>
      </c>
    </row>
    <row r="40" spans="1:13" ht="12.95" customHeight="1" x14ac:dyDescent="0.2">
      <c r="A40">
        <v>38</v>
      </c>
      <c r="B40" t="s">
        <v>88</v>
      </c>
      <c r="C40" t="s">
        <v>10</v>
      </c>
      <c r="D40" t="s">
        <v>89</v>
      </c>
      <c r="E40">
        <v>225.4</v>
      </c>
      <c r="F40" t="s">
        <v>12</v>
      </c>
      <c r="G40" s="3">
        <f t="shared" si="0"/>
        <v>3.3274179236912156</v>
      </c>
      <c r="H40">
        <v>2.15</v>
      </c>
      <c r="I40">
        <v>1.9</v>
      </c>
      <c r="J40" s="8">
        <f t="shared" si="1"/>
        <v>3.3274179236912156</v>
      </c>
      <c r="K40" s="7">
        <f t="shared" si="2"/>
        <v>2.6725820763087844</v>
      </c>
      <c r="L40" t="s">
        <v>13</v>
      </c>
      <c r="M40">
        <v>40</v>
      </c>
    </row>
    <row r="41" spans="1:13" ht="12.95" customHeight="1" x14ac:dyDescent="0.2">
      <c r="A41">
        <v>39</v>
      </c>
      <c r="B41" t="s">
        <v>90</v>
      </c>
      <c r="C41" t="s">
        <v>10</v>
      </c>
      <c r="D41" t="s">
        <v>91</v>
      </c>
      <c r="E41">
        <v>631.79999999999995</v>
      </c>
      <c r="F41" t="s">
        <v>12</v>
      </c>
      <c r="G41" s="3">
        <f t="shared" si="0"/>
        <v>1.1870845204178537</v>
      </c>
      <c r="H41">
        <v>2.14</v>
      </c>
      <c r="I41">
        <v>2.35</v>
      </c>
      <c r="J41" s="8">
        <f t="shared" si="1"/>
        <v>1.1870845204178537</v>
      </c>
      <c r="K41" s="7">
        <f t="shared" si="2"/>
        <v>4.8129154795821467</v>
      </c>
      <c r="L41" t="s">
        <v>13</v>
      </c>
      <c r="M41">
        <v>40</v>
      </c>
    </row>
    <row r="42" spans="1:13" ht="12.95" customHeight="1" x14ac:dyDescent="0.2">
      <c r="A42">
        <v>40</v>
      </c>
      <c r="B42" t="s">
        <v>92</v>
      </c>
      <c r="C42" t="s">
        <v>10</v>
      </c>
      <c r="D42" t="s">
        <v>93</v>
      </c>
      <c r="E42">
        <v>522.79999999999995</v>
      </c>
      <c r="F42" t="s">
        <v>12</v>
      </c>
      <c r="G42" s="3">
        <f t="shared" si="0"/>
        <v>1.4345830145371079</v>
      </c>
      <c r="H42">
        <v>2.15</v>
      </c>
      <c r="I42">
        <v>2.41</v>
      </c>
      <c r="J42" s="8">
        <f t="shared" si="1"/>
        <v>1.4345830145371079</v>
      </c>
      <c r="K42" s="7">
        <f t="shared" si="2"/>
        <v>4.5654169854628925</v>
      </c>
      <c r="L42" t="s">
        <v>13</v>
      </c>
      <c r="M42">
        <v>40</v>
      </c>
    </row>
    <row r="43" spans="1:13" ht="12.95" customHeight="1" x14ac:dyDescent="0.2">
      <c r="A43">
        <v>41</v>
      </c>
      <c r="B43" t="s">
        <v>94</v>
      </c>
      <c r="C43" t="s">
        <v>10</v>
      </c>
      <c r="D43" t="s">
        <v>95</v>
      </c>
      <c r="E43">
        <v>404.6</v>
      </c>
      <c r="F43" t="s">
        <v>12</v>
      </c>
      <c r="G43" s="3">
        <f t="shared" si="0"/>
        <v>1.8536826495304002</v>
      </c>
      <c r="H43">
        <v>2.16</v>
      </c>
      <c r="I43">
        <v>2.29</v>
      </c>
      <c r="J43" s="8">
        <f t="shared" si="1"/>
        <v>1.8536826495304002</v>
      </c>
      <c r="K43" s="7">
        <f t="shared" si="2"/>
        <v>4.1463173504695998</v>
      </c>
      <c r="L43" t="s">
        <v>13</v>
      </c>
      <c r="M43">
        <v>40</v>
      </c>
    </row>
    <row r="44" spans="1:13" ht="12.95" customHeight="1" x14ac:dyDescent="0.2">
      <c r="A44">
        <v>42</v>
      </c>
      <c r="B44" t="s">
        <v>96</v>
      </c>
      <c r="C44" t="s">
        <v>10</v>
      </c>
      <c r="D44" t="s">
        <v>97</v>
      </c>
      <c r="E44">
        <v>696.7</v>
      </c>
      <c r="F44" t="s">
        <v>12</v>
      </c>
      <c r="G44" s="3">
        <f t="shared" si="0"/>
        <v>1.076503516578154</v>
      </c>
      <c r="H44">
        <v>2.14</v>
      </c>
      <c r="I44">
        <v>2.31</v>
      </c>
      <c r="J44" s="8">
        <f t="shared" si="1"/>
        <v>1.076503516578154</v>
      </c>
      <c r="K44" s="7">
        <f t="shared" si="2"/>
        <v>4.9234964834218458</v>
      </c>
      <c r="L44" t="s">
        <v>13</v>
      </c>
      <c r="M44">
        <v>40</v>
      </c>
    </row>
    <row r="45" spans="1:13" ht="12.95" customHeight="1" x14ac:dyDescent="0.2">
      <c r="A45">
        <v>43</v>
      </c>
      <c r="B45" t="s">
        <v>98</v>
      </c>
      <c r="C45" t="s">
        <v>10</v>
      </c>
      <c r="D45" t="s">
        <v>99</v>
      </c>
      <c r="E45">
        <v>297.60000000000002</v>
      </c>
      <c r="F45" t="s">
        <v>12</v>
      </c>
      <c r="G45" s="3">
        <f t="shared" si="0"/>
        <v>2.5201612903225805</v>
      </c>
      <c r="H45">
        <v>2.15</v>
      </c>
      <c r="I45">
        <v>2.2999999999999998</v>
      </c>
      <c r="J45" s="8">
        <f t="shared" si="1"/>
        <v>2.5201612903225805</v>
      </c>
      <c r="K45" s="7">
        <f t="shared" si="2"/>
        <v>3.4798387096774195</v>
      </c>
      <c r="L45" t="s">
        <v>13</v>
      </c>
      <c r="M45">
        <v>40</v>
      </c>
    </row>
    <row r="46" spans="1:13" ht="12.95" customHeight="1" x14ac:dyDescent="0.2">
      <c r="A46" s="12">
        <v>44</v>
      </c>
      <c r="B46" s="12" t="s">
        <v>100</v>
      </c>
      <c r="C46" t="s">
        <v>10</v>
      </c>
      <c r="D46" t="s">
        <v>101</v>
      </c>
      <c r="E46">
        <v>17.5</v>
      </c>
      <c r="F46" t="s">
        <v>12</v>
      </c>
      <c r="G46" s="3">
        <f t="shared" si="0"/>
        <v>42.857142857142854</v>
      </c>
      <c r="H46">
        <v>2.25</v>
      </c>
      <c r="I46">
        <v>1.37</v>
      </c>
      <c r="J46" s="8">
        <f t="shared" si="1"/>
        <v>6</v>
      </c>
      <c r="K46" s="7">
        <f t="shared" si="2"/>
        <v>0</v>
      </c>
      <c r="L46" t="s">
        <v>13</v>
      </c>
      <c r="M46">
        <v>40</v>
      </c>
    </row>
    <row r="47" spans="1:13" ht="12.95" customHeight="1" x14ac:dyDescent="0.2">
      <c r="A47">
        <v>45</v>
      </c>
      <c r="B47" t="s">
        <v>102</v>
      </c>
      <c r="C47" t="s">
        <v>10</v>
      </c>
      <c r="D47" t="s">
        <v>103</v>
      </c>
      <c r="E47">
        <v>65.599999999999994</v>
      </c>
      <c r="F47" t="s">
        <v>12</v>
      </c>
      <c r="G47" s="3">
        <f t="shared" si="0"/>
        <v>11.432926829268293</v>
      </c>
      <c r="H47">
        <v>2.1800000000000002</v>
      </c>
      <c r="I47">
        <v>1.07</v>
      </c>
      <c r="J47" s="8">
        <f t="shared" si="1"/>
        <v>6</v>
      </c>
      <c r="K47" s="7">
        <f t="shared" si="2"/>
        <v>0</v>
      </c>
      <c r="L47" t="s">
        <v>13</v>
      </c>
      <c r="M47">
        <v>40</v>
      </c>
    </row>
    <row r="48" spans="1:13" ht="12.95" customHeight="1" x14ac:dyDescent="0.2">
      <c r="A48">
        <v>46</v>
      </c>
      <c r="B48" t="s">
        <v>104</v>
      </c>
      <c r="C48" t="s">
        <v>10</v>
      </c>
      <c r="D48" t="s">
        <v>105</v>
      </c>
      <c r="E48">
        <v>383.2</v>
      </c>
      <c r="F48" t="s">
        <v>12</v>
      </c>
      <c r="G48" s="3">
        <f t="shared" si="0"/>
        <v>1.9572025052192068</v>
      </c>
      <c r="H48">
        <v>2.15</v>
      </c>
      <c r="I48">
        <v>1.17</v>
      </c>
      <c r="J48" s="8">
        <f t="shared" si="1"/>
        <v>1.9572025052192068</v>
      </c>
      <c r="K48" s="7">
        <f t="shared" si="2"/>
        <v>4.0427974947807934</v>
      </c>
      <c r="L48" t="s">
        <v>13</v>
      </c>
      <c r="M48">
        <v>40</v>
      </c>
    </row>
    <row r="49" spans="1:13" ht="12.95" customHeight="1" x14ac:dyDescent="0.2">
      <c r="A49">
        <v>47</v>
      </c>
      <c r="B49" t="s">
        <v>106</v>
      </c>
      <c r="C49" t="s">
        <v>10</v>
      </c>
      <c r="D49" t="s">
        <v>107</v>
      </c>
      <c r="E49">
        <v>258.2</v>
      </c>
      <c r="F49" t="s">
        <v>12</v>
      </c>
      <c r="G49" s="3">
        <f t="shared" si="0"/>
        <v>2.9047250193648337</v>
      </c>
      <c r="H49">
        <v>2.15</v>
      </c>
      <c r="I49">
        <v>1.58</v>
      </c>
      <c r="J49" s="8">
        <f t="shared" si="1"/>
        <v>2.9047250193648337</v>
      </c>
      <c r="K49" s="7">
        <f t="shared" si="2"/>
        <v>3.0952749806351663</v>
      </c>
      <c r="L49" t="s">
        <v>13</v>
      </c>
      <c r="M49">
        <v>40</v>
      </c>
    </row>
    <row r="50" spans="1:13" ht="12.95" customHeight="1" x14ac:dyDescent="0.2">
      <c r="A50">
        <v>48</v>
      </c>
      <c r="B50" t="s">
        <v>108</v>
      </c>
      <c r="C50" t="s">
        <v>10</v>
      </c>
      <c r="D50" t="s">
        <v>109</v>
      </c>
      <c r="E50">
        <v>260.39999999999998</v>
      </c>
      <c r="F50" t="s">
        <v>12</v>
      </c>
      <c r="G50" s="3">
        <f t="shared" si="0"/>
        <v>2.8801843317972353</v>
      </c>
      <c r="H50">
        <v>2.15</v>
      </c>
      <c r="I50">
        <v>2.31</v>
      </c>
      <c r="J50" s="8">
        <f t="shared" si="1"/>
        <v>2.8801843317972353</v>
      </c>
      <c r="K50" s="7">
        <f t="shared" si="2"/>
        <v>3.1198156682027647</v>
      </c>
      <c r="L50" t="s">
        <v>13</v>
      </c>
      <c r="M50">
        <v>40</v>
      </c>
    </row>
    <row r="51" spans="1:13" ht="12.95" customHeight="1" x14ac:dyDescent="0.2">
      <c r="A51">
        <v>49</v>
      </c>
      <c r="B51" t="s">
        <v>110</v>
      </c>
      <c r="C51" t="s">
        <v>10</v>
      </c>
      <c r="D51" t="s">
        <v>111</v>
      </c>
      <c r="E51">
        <v>329.6</v>
      </c>
      <c r="F51" t="s">
        <v>12</v>
      </c>
      <c r="G51" s="3">
        <f t="shared" si="0"/>
        <v>2.2754854368932036</v>
      </c>
      <c r="H51">
        <v>2.15</v>
      </c>
      <c r="I51">
        <v>2.21</v>
      </c>
      <c r="J51" s="8">
        <f t="shared" si="1"/>
        <v>2.2754854368932036</v>
      </c>
      <c r="K51" s="7">
        <f t="shared" si="2"/>
        <v>3.7245145631067964</v>
      </c>
      <c r="L51" t="s">
        <v>13</v>
      </c>
      <c r="M51">
        <v>40</v>
      </c>
    </row>
    <row r="52" spans="1:13" ht="12.95" customHeight="1" x14ac:dyDescent="0.2">
      <c r="A52">
        <v>50</v>
      </c>
      <c r="B52" t="s">
        <v>112</v>
      </c>
      <c r="C52" t="s">
        <v>10</v>
      </c>
      <c r="D52" t="s">
        <v>113</v>
      </c>
      <c r="E52">
        <v>343.3</v>
      </c>
      <c r="F52" t="s">
        <v>12</v>
      </c>
      <c r="G52" s="3">
        <f t="shared" si="0"/>
        <v>2.1846781240897175</v>
      </c>
      <c r="H52">
        <v>2.17</v>
      </c>
      <c r="I52">
        <v>2.21</v>
      </c>
      <c r="J52" s="8">
        <f t="shared" si="1"/>
        <v>2.1846781240897175</v>
      </c>
      <c r="K52" s="7">
        <f t="shared" si="2"/>
        <v>3.8153218759102825</v>
      </c>
      <c r="L52" t="s">
        <v>13</v>
      </c>
      <c r="M52">
        <v>40</v>
      </c>
    </row>
    <row r="53" spans="1:13" ht="12.95" customHeight="1" x14ac:dyDescent="0.2">
      <c r="A53">
        <v>51</v>
      </c>
      <c r="B53" t="s">
        <v>114</v>
      </c>
      <c r="C53" t="s">
        <v>10</v>
      </c>
      <c r="D53" t="s">
        <v>115</v>
      </c>
      <c r="E53">
        <v>473.2</v>
      </c>
      <c r="F53" t="s">
        <v>12</v>
      </c>
      <c r="G53" s="3">
        <f t="shared" si="0"/>
        <v>1.5849535080304311</v>
      </c>
      <c r="H53">
        <v>2.13</v>
      </c>
      <c r="I53">
        <v>1.93</v>
      </c>
      <c r="J53" s="8">
        <f t="shared" si="1"/>
        <v>1.5849535080304311</v>
      </c>
      <c r="K53" s="7">
        <f t="shared" si="2"/>
        <v>4.4150464919695693</v>
      </c>
      <c r="L53" t="s">
        <v>13</v>
      </c>
      <c r="M53">
        <v>40</v>
      </c>
    </row>
    <row r="54" spans="1:13" ht="12.95" customHeight="1" x14ac:dyDescent="0.2">
      <c r="A54">
        <v>52</v>
      </c>
      <c r="B54" t="s">
        <v>116</v>
      </c>
      <c r="C54" t="s">
        <v>10</v>
      </c>
      <c r="D54" t="s">
        <v>117</v>
      </c>
      <c r="E54">
        <v>560.9</v>
      </c>
      <c r="F54" t="s">
        <v>12</v>
      </c>
      <c r="G54" s="3">
        <f t="shared" si="0"/>
        <v>1.3371367445177393</v>
      </c>
      <c r="H54">
        <v>2.12</v>
      </c>
      <c r="I54">
        <v>2.2999999999999998</v>
      </c>
      <c r="J54" s="8">
        <f t="shared" si="1"/>
        <v>1.3371367445177393</v>
      </c>
      <c r="K54" s="7">
        <f t="shared" si="2"/>
        <v>4.6628632554822609</v>
      </c>
      <c r="L54" t="s">
        <v>13</v>
      </c>
      <c r="M54">
        <v>40</v>
      </c>
    </row>
    <row r="55" spans="1:13" ht="12.95" customHeight="1" x14ac:dyDescent="0.2">
      <c r="A55">
        <v>53</v>
      </c>
      <c r="B55" t="s">
        <v>118</v>
      </c>
      <c r="C55" t="s">
        <v>10</v>
      </c>
      <c r="D55" t="s">
        <v>119</v>
      </c>
      <c r="E55">
        <v>212</v>
      </c>
      <c r="F55" t="s">
        <v>12</v>
      </c>
      <c r="G55" s="3">
        <f t="shared" si="0"/>
        <v>3.5377358490566038</v>
      </c>
      <c r="H55">
        <v>2.12</v>
      </c>
      <c r="I55">
        <v>2.16</v>
      </c>
      <c r="J55" s="8">
        <f t="shared" si="1"/>
        <v>3.5377358490566038</v>
      </c>
      <c r="K55" s="7">
        <f t="shared" si="2"/>
        <v>2.4622641509433962</v>
      </c>
      <c r="L55" t="s">
        <v>13</v>
      </c>
      <c r="M55">
        <v>40</v>
      </c>
    </row>
    <row r="56" spans="1:13" ht="12.95" customHeight="1" x14ac:dyDescent="0.2">
      <c r="A56">
        <v>54</v>
      </c>
      <c r="B56" t="s">
        <v>120</v>
      </c>
      <c r="C56" t="s">
        <v>10</v>
      </c>
      <c r="D56" t="s">
        <v>121</v>
      </c>
      <c r="E56">
        <v>394.7</v>
      </c>
      <c r="F56" t="s">
        <v>12</v>
      </c>
      <c r="G56" s="3">
        <f t="shared" si="0"/>
        <v>1.9001773498859895</v>
      </c>
      <c r="H56">
        <v>2.16</v>
      </c>
      <c r="I56">
        <v>2.2599999999999998</v>
      </c>
      <c r="J56" s="8">
        <f t="shared" si="1"/>
        <v>1.9001773498859895</v>
      </c>
      <c r="K56" s="7">
        <f t="shared" si="2"/>
        <v>4.0998226501140103</v>
      </c>
      <c r="L56" t="s">
        <v>13</v>
      </c>
      <c r="M56">
        <v>40</v>
      </c>
    </row>
    <row r="57" spans="1:13" ht="12.95" customHeight="1" x14ac:dyDescent="0.2">
      <c r="A57">
        <v>55</v>
      </c>
      <c r="B57" t="s">
        <v>122</v>
      </c>
      <c r="C57" t="s">
        <v>10</v>
      </c>
      <c r="D57" t="s">
        <v>123</v>
      </c>
      <c r="E57">
        <v>193.4</v>
      </c>
      <c r="F57" t="s">
        <v>12</v>
      </c>
      <c r="G57" s="3">
        <f t="shared" si="0"/>
        <v>3.8779731127197516</v>
      </c>
      <c r="H57">
        <v>2.14</v>
      </c>
      <c r="I57">
        <v>2.16</v>
      </c>
      <c r="J57" s="8">
        <f t="shared" si="1"/>
        <v>3.8779731127197516</v>
      </c>
      <c r="K57" s="7">
        <f t="shared" si="2"/>
        <v>2.1220268872802484</v>
      </c>
      <c r="L57" t="s">
        <v>13</v>
      </c>
      <c r="M57">
        <v>40</v>
      </c>
    </row>
    <row r="58" spans="1:13" ht="12.95" customHeight="1" x14ac:dyDescent="0.2">
      <c r="A58">
        <v>56</v>
      </c>
      <c r="B58" t="s">
        <v>124</v>
      </c>
      <c r="C58" t="s">
        <v>10</v>
      </c>
      <c r="D58" t="s">
        <v>125</v>
      </c>
      <c r="E58">
        <v>244.7</v>
      </c>
      <c r="F58" t="s">
        <v>12</v>
      </c>
      <c r="G58" s="3">
        <f t="shared" si="0"/>
        <v>3.0649775234981611</v>
      </c>
      <c r="H58">
        <v>2.15</v>
      </c>
      <c r="I58">
        <v>1.89</v>
      </c>
      <c r="J58" s="8">
        <f t="shared" si="1"/>
        <v>3.0649775234981611</v>
      </c>
      <c r="K58" s="7">
        <f t="shared" si="2"/>
        <v>2.9350224765018389</v>
      </c>
      <c r="L58" t="s">
        <v>13</v>
      </c>
      <c r="M58">
        <v>40</v>
      </c>
    </row>
    <row r="59" spans="1:13" ht="12.95" customHeight="1" x14ac:dyDescent="0.2">
      <c r="A59">
        <v>57</v>
      </c>
      <c r="B59" t="s">
        <v>126</v>
      </c>
      <c r="C59" t="s">
        <v>10</v>
      </c>
      <c r="D59" t="s">
        <v>127</v>
      </c>
      <c r="E59">
        <v>306</v>
      </c>
      <c r="F59" t="s">
        <v>12</v>
      </c>
      <c r="G59" s="3">
        <f t="shared" si="0"/>
        <v>2.4509803921568629</v>
      </c>
      <c r="H59">
        <v>2.15</v>
      </c>
      <c r="I59">
        <v>1.92</v>
      </c>
      <c r="J59" s="8">
        <f t="shared" si="1"/>
        <v>2.4509803921568629</v>
      </c>
      <c r="K59" s="7">
        <f t="shared" si="2"/>
        <v>3.5490196078431371</v>
      </c>
      <c r="L59" t="s">
        <v>13</v>
      </c>
      <c r="M59">
        <v>40</v>
      </c>
    </row>
    <row r="60" spans="1:13" ht="12.95" customHeight="1" x14ac:dyDescent="0.2">
      <c r="A60">
        <v>58</v>
      </c>
      <c r="B60" t="s">
        <v>128</v>
      </c>
      <c r="C60" t="s">
        <v>10</v>
      </c>
      <c r="D60" t="s">
        <v>129</v>
      </c>
      <c r="E60">
        <v>526.20000000000005</v>
      </c>
      <c r="F60" t="s">
        <v>12</v>
      </c>
      <c r="G60" s="3">
        <f t="shared" si="0"/>
        <v>1.4253135689851766</v>
      </c>
      <c r="H60">
        <v>2.1</v>
      </c>
      <c r="I60">
        <v>1.81</v>
      </c>
      <c r="J60" s="8">
        <f t="shared" si="1"/>
        <v>1.4253135689851766</v>
      </c>
      <c r="K60" s="7">
        <f t="shared" si="2"/>
        <v>4.5746864310148236</v>
      </c>
      <c r="L60" t="s">
        <v>13</v>
      </c>
      <c r="M60">
        <v>40</v>
      </c>
    </row>
    <row r="61" spans="1:13" ht="12.95" customHeight="1" x14ac:dyDescent="0.2">
      <c r="A61">
        <v>59</v>
      </c>
      <c r="B61" t="s">
        <v>130</v>
      </c>
      <c r="C61" t="s">
        <v>10</v>
      </c>
      <c r="D61" t="s">
        <v>131</v>
      </c>
      <c r="E61">
        <v>304.8</v>
      </c>
      <c r="F61" t="s">
        <v>12</v>
      </c>
      <c r="G61" s="3">
        <f t="shared" si="0"/>
        <v>2.4606299212598426</v>
      </c>
      <c r="H61">
        <v>2.16</v>
      </c>
      <c r="I61">
        <v>1.81</v>
      </c>
      <c r="J61" s="8">
        <f t="shared" si="1"/>
        <v>2.4606299212598426</v>
      </c>
      <c r="K61" s="7">
        <f t="shared" si="2"/>
        <v>3.5393700787401574</v>
      </c>
      <c r="L61" t="s">
        <v>13</v>
      </c>
      <c r="M61">
        <v>40</v>
      </c>
    </row>
    <row r="62" spans="1:13" ht="12.95" customHeight="1" x14ac:dyDescent="0.2">
      <c r="A62">
        <v>60</v>
      </c>
      <c r="B62" t="s">
        <v>132</v>
      </c>
      <c r="C62" t="s">
        <v>10</v>
      </c>
      <c r="D62" t="s">
        <v>133</v>
      </c>
      <c r="E62">
        <v>512.6</v>
      </c>
      <c r="F62" t="s">
        <v>12</v>
      </c>
      <c r="G62" s="3">
        <f t="shared" si="0"/>
        <v>1.463129145532579</v>
      </c>
      <c r="H62">
        <v>2.1</v>
      </c>
      <c r="I62">
        <v>2.2999999999999998</v>
      </c>
      <c r="J62" s="8">
        <f t="shared" si="1"/>
        <v>1.463129145532579</v>
      </c>
      <c r="K62" s="7">
        <f t="shared" si="2"/>
        <v>4.5368708544674208</v>
      </c>
      <c r="L62" t="s">
        <v>13</v>
      </c>
      <c r="M62">
        <v>40</v>
      </c>
    </row>
    <row r="63" spans="1:13" ht="12.95" customHeight="1" x14ac:dyDescent="0.2">
      <c r="A63">
        <v>61</v>
      </c>
      <c r="B63" t="s">
        <v>134</v>
      </c>
      <c r="C63" t="s">
        <v>10</v>
      </c>
      <c r="D63" t="s">
        <v>135</v>
      </c>
      <c r="E63">
        <v>245.7</v>
      </c>
      <c r="F63" t="s">
        <v>12</v>
      </c>
      <c r="G63" s="3">
        <f t="shared" si="0"/>
        <v>3.0525030525030528</v>
      </c>
      <c r="H63">
        <v>2.14</v>
      </c>
      <c r="I63">
        <v>2.04</v>
      </c>
      <c r="J63" s="8">
        <f t="shared" si="1"/>
        <v>3.0525030525030528</v>
      </c>
      <c r="K63" s="7">
        <f t="shared" si="2"/>
        <v>2.9474969474969472</v>
      </c>
      <c r="L63" t="s">
        <v>13</v>
      </c>
      <c r="M63">
        <v>40</v>
      </c>
    </row>
    <row r="64" spans="1:13" ht="12.95" customHeight="1" x14ac:dyDescent="0.2">
      <c r="A64">
        <v>62</v>
      </c>
      <c r="B64" t="s">
        <v>136</v>
      </c>
      <c r="C64" t="s">
        <v>10</v>
      </c>
      <c r="D64" t="s">
        <v>137</v>
      </c>
      <c r="E64">
        <v>251.9</v>
      </c>
      <c r="F64" t="s">
        <v>12</v>
      </c>
      <c r="G64" s="3">
        <f t="shared" si="0"/>
        <v>2.9773719730051607</v>
      </c>
      <c r="H64">
        <v>2.16</v>
      </c>
      <c r="I64">
        <v>1.53</v>
      </c>
      <c r="J64" s="8">
        <f t="shared" si="1"/>
        <v>2.9773719730051607</v>
      </c>
      <c r="K64" s="7">
        <f t="shared" si="2"/>
        <v>3.0226280269948393</v>
      </c>
      <c r="L64" t="s">
        <v>13</v>
      </c>
      <c r="M64">
        <v>40</v>
      </c>
    </row>
    <row r="65" spans="1:13" ht="12.95" customHeight="1" x14ac:dyDescent="0.2">
      <c r="A65">
        <v>63</v>
      </c>
      <c r="B65" t="s">
        <v>138</v>
      </c>
      <c r="C65" t="s">
        <v>10</v>
      </c>
      <c r="D65" t="s">
        <v>139</v>
      </c>
      <c r="E65">
        <v>228</v>
      </c>
      <c r="F65" t="s">
        <v>12</v>
      </c>
      <c r="G65" s="3">
        <f t="shared" si="0"/>
        <v>3.2894736842105261</v>
      </c>
      <c r="H65">
        <v>2.15</v>
      </c>
      <c r="I65">
        <v>1.81</v>
      </c>
      <c r="J65" s="8">
        <f t="shared" si="1"/>
        <v>3.2894736842105261</v>
      </c>
      <c r="K65" s="7">
        <f t="shared" si="2"/>
        <v>2.7105263157894739</v>
      </c>
      <c r="L65" t="s">
        <v>13</v>
      </c>
      <c r="M65">
        <v>40</v>
      </c>
    </row>
    <row r="66" spans="1:13" ht="12.95" customHeight="1" x14ac:dyDescent="0.2">
      <c r="A66">
        <v>64</v>
      </c>
      <c r="B66" t="s">
        <v>140</v>
      </c>
      <c r="C66" t="s">
        <v>10</v>
      </c>
      <c r="D66" t="s">
        <v>141</v>
      </c>
      <c r="E66">
        <v>147</v>
      </c>
      <c r="F66" t="s">
        <v>12</v>
      </c>
      <c r="G66" s="3">
        <f t="shared" si="0"/>
        <v>5.1020408163265305</v>
      </c>
      <c r="H66">
        <v>2.14</v>
      </c>
      <c r="I66">
        <v>0.84</v>
      </c>
      <c r="J66" s="8">
        <f t="shared" si="1"/>
        <v>5.1020408163265305</v>
      </c>
      <c r="K66" s="7">
        <f t="shared" si="2"/>
        <v>0.8979591836734695</v>
      </c>
      <c r="L66" t="s">
        <v>13</v>
      </c>
      <c r="M66">
        <v>40</v>
      </c>
    </row>
    <row r="67" spans="1:13" ht="12.95" customHeight="1" x14ac:dyDescent="0.2">
      <c r="A67">
        <v>65</v>
      </c>
      <c r="B67" t="s">
        <v>142</v>
      </c>
      <c r="C67" t="s">
        <v>10</v>
      </c>
      <c r="D67" t="s">
        <v>143</v>
      </c>
      <c r="E67">
        <v>161</v>
      </c>
      <c r="F67" t="s">
        <v>12</v>
      </c>
      <c r="G67" s="3">
        <f t="shared" ref="G67:G114" si="3">750/E67</f>
        <v>4.658385093167702</v>
      </c>
      <c r="H67">
        <v>2.13</v>
      </c>
      <c r="I67">
        <v>2.09</v>
      </c>
      <c r="J67" s="8">
        <f t="shared" ref="J67:J114" si="4">IF(G67&gt;=6, 6, G67)</f>
        <v>4.658385093167702</v>
      </c>
      <c r="K67" s="7">
        <f t="shared" ref="K67:K114" si="5">6-J67</f>
        <v>1.341614906832298</v>
      </c>
      <c r="L67" t="s">
        <v>13</v>
      </c>
      <c r="M67">
        <v>40</v>
      </c>
    </row>
    <row r="68" spans="1:13" ht="12.95" customHeight="1" x14ac:dyDescent="0.2">
      <c r="A68">
        <v>66</v>
      </c>
      <c r="B68" t="s">
        <v>144</v>
      </c>
      <c r="C68" t="s">
        <v>10</v>
      </c>
      <c r="D68" t="s">
        <v>145</v>
      </c>
      <c r="E68">
        <v>300.7</v>
      </c>
      <c r="F68" t="s">
        <v>12</v>
      </c>
      <c r="G68" s="3">
        <f t="shared" si="3"/>
        <v>2.4941802460924509</v>
      </c>
      <c r="H68">
        <v>2.13</v>
      </c>
      <c r="I68">
        <v>2.06</v>
      </c>
      <c r="J68" s="8">
        <f t="shared" si="4"/>
        <v>2.4941802460924509</v>
      </c>
      <c r="K68" s="7">
        <f t="shared" si="5"/>
        <v>3.5058197539075491</v>
      </c>
      <c r="L68" t="s">
        <v>13</v>
      </c>
      <c r="M68">
        <v>40</v>
      </c>
    </row>
    <row r="69" spans="1:13" ht="12.95" customHeight="1" x14ac:dyDescent="0.2">
      <c r="A69">
        <v>67</v>
      </c>
      <c r="B69" t="s">
        <v>146</v>
      </c>
      <c r="C69" t="s">
        <v>10</v>
      </c>
      <c r="D69" t="s">
        <v>147</v>
      </c>
      <c r="E69">
        <v>614.29999999999995</v>
      </c>
      <c r="F69" t="s">
        <v>12</v>
      </c>
      <c r="G69" s="3">
        <f t="shared" si="3"/>
        <v>1.220901839492105</v>
      </c>
      <c r="H69">
        <v>2.16</v>
      </c>
      <c r="I69">
        <v>2.0299999999999998</v>
      </c>
      <c r="J69" s="8">
        <f t="shared" si="4"/>
        <v>1.220901839492105</v>
      </c>
      <c r="K69" s="7">
        <f t="shared" si="5"/>
        <v>4.7790981605078953</v>
      </c>
      <c r="L69" t="s">
        <v>13</v>
      </c>
      <c r="M69">
        <v>40</v>
      </c>
    </row>
    <row r="70" spans="1:13" ht="12.95" customHeight="1" x14ac:dyDescent="0.2">
      <c r="A70">
        <v>68</v>
      </c>
      <c r="B70" t="s">
        <v>148</v>
      </c>
      <c r="C70" t="s">
        <v>10</v>
      </c>
      <c r="D70" t="s">
        <v>149</v>
      </c>
      <c r="E70">
        <v>336.2</v>
      </c>
      <c r="F70" t="s">
        <v>12</v>
      </c>
      <c r="G70" s="3">
        <f t="shared" si="3"/>
        <v>2.2308149910767403</v>
      </c>
      <c r="H70">
        <v>2.14</v>
      </c>
      <c r="I70">
        <v>1.87</v>
      </c>
      <c r="J70" s="8">
        <f t="shared" si="4"/>
        <v>2.2308149910767403</v>
      </c>
      <c r="K70" s="7">
        <f t="shared" si="5"/>
        <v>3.7691850089232597</v>
      </c>
      <c r="L70" t="s">
        <v>13</v>
      </c>
      <c r="M70">
        <v>40</v>
      </c>
    </row>
    <row r="71" spans="1:13" ht="12.95" customHeight="1" x14ac:dyDescent="0.2">
      <c r="A71">
        <v>69</v>
      </c>
      <c r="B71" t="s">
        <v>150</v>
      </c>
      <c r="C71" t="s">
        <v>10</v>
      </c>
      <c r="D71" t="s">
        <v>151</v>
      </c>
      <c r="E71">
        <v>137.1</v>
      </c>
      <c r="F71" t="s">
        <v>12</v>
      </c>
      <c r="G71" s="3">
        <f t="shared" si="3"/>
        <v>5.4704595185995624</v>
      </c>
      <c r="H71">
        <v>2.12</v>
      </c>
      <c r="I71">
        <v>2.21</v>
      </c>
      <c r="J71" s="8">
        <f t="shared" si="4"/>
        <v>5.4704595185995624</v>
      </c>
      <c r="K71" s="7">
        <f t="shared" si="5"/>
        <v>0.52954048140043763</v>
      </c>
      <c r="L71" t="s">
        <v>13</v>
      </c>
      <c r="M71">
        <v>40</v>
      </c>
    </row>
    <row r="72" spans="1:13" ht="12.95" customHeight="1" x14ac:dyDescent="0.2">
      <c r="A72">
        <v>70</v>
      </c>
      <c r="B72" t="s">
        <v>152</v>
      </c>
      <c r="C72" t="s">
        <v>10</v>
      </c>
      <c r="D72" t="s">
        <v>153</v>
      </c>
      <c r="E72">
        <v>118.9</v>
      </c>
      <c r="F72" t="s">
        <v>12</v>
      </c>
      <c r="G72" s="3">
        <f t="shared" si="3"/>
        <v>6.3078216989066442</v>
      </c>
      <c r="H72">
        <v>2.16</v>
      </c>
      <c r="I72">
        <v>1.65</v>
      </c>
      <c r="J72" s="8">
        <f t="shared" si="4"/>
        <v>6</v>
      </c>
      <c r="K72" s="7">
        <f t="shared" si="5"/>
        <v>0</v>
      </c>
      <c r="L72" t="s">
        <v>13</v>
      </c>
      <c r="M72">
        <v>40</v>
      </c>
    </row>
    <row r="73" spans="1:13" ht="12.95" customHeight="1" x14ac:dyDescent="0.2">
      <c r="A73">
        <v>71</v>
      </c>
      <c r="B73" t="s">
        <v>154</v>
      </c>
      <c r="C73" t="s">
        <v>10</v>
      </c>
      <c r="D73" t="s">
        <v>155</v>
      </c>
      <c r="E73">
        <v>211.1</v>
      </c>
      <c r="F73" t="s">
        <v>12</v>
      </c>
      <c r="G73" s="3">
        <f t="shared" si="3"/>
        <v>3.5528185693983896</v>
      </c>
      <c r="H73">
        <v>2.14</v>
      </c>
      <c r="I73">
        <v>2.14</v>
      </c>
      <c r="J73" s="8">
        <f t="shared" si="4"/>
        <v>3.5528185693983896</v>
      </c>
      <c r="K73" s="7">
        <f t="shared" si="5"/>
        <v>2.4471814306016104</v>
      </c>
      <c r="L73" t="s">
        <v>13</v>
      </c>
      <c r="M73">
        <v>40</v>
      </c>
    </row>
    <row r="74" spans="1:13" ht="12.95" customHeight="1" x14ac:dyDescent="0.2">
      <c r="A74">
        <v>72</v>
      </c>
      <c r="B74" t="s">
        <v>156</v>
      </c>
      <c r="C74" t="s">
        <v>10</v>
      </c>
      <c r="D74" t="s">
        <v>157</v>
      </c>
      <c r="E74">
        <v>74.3</v>
      </c>
      <c r="F74" t="s">
        <v>12</v>
      </c>
      <c r="G74" s="3">
        <f t="shared" si="3"/>
        <v>10.094212651413191</v>
      </c>
      <c r="H74">
        <v>2.12</v>
      </c>
      <c r="I74">
        <v>1.56</v>
      </c>
      <c r="J74" s="8">
        <f t="shared" si="4"/>
        <v>6</v>
      </c>
      <c r="K74" s="7">
        <f t="shared" si="5"/>
        <v>0</v>
      </c>
      <c r="L74" t="s">
        <v>13</v>
      </c>
      <c r="M74">
        <v>40</v>
      </c>
    </row>
    <row r="75" spans="1:13" ht="12.95" customHeight="1" x14ac:dyDescent="0.2">
      <c r="A75">
        <v>73</v>
      </c>
      <c r="B75" t="s">
        <v>158</v>
      </c>
      <c r="C75" t="s">
        <v>10</v>
      </c>
      <c r="D75" t="s">
        <v>159</v>
      </c>
      <c r="E75">
        <v>161.4</v>
      </c>
      <c r="F75" t="s">
        <v>12</v>
      </c>
      <c r="G75" s="3">
        <f t="shared" si="3"/>
        <v>4.6468401486988844</v>
      </c>
      <c r="H75">
        <v>2.14</v>
      </c>
      <c r="I75">
        <v>1.89</v>
      </c>
      <c r="J75" s="8">
        <f t="shared" si="4"/>
        <v>4.6468401486988844</v>
      </c>
      <c r="K75" s="7">
        <f t="shared" si="5"/>
        <v>1.3531598513011156</v>
      </c>
      <c r="L75" t="s">
        <v>13</v>
      </c>
      <c r="M75">
        <v>40</v>
      </c>
    </row>
    <row r="76" spans="1:13" ht="12.95" customHeight="1" x14ac:dyDescent="0.2">
      <c r="A76">
        <v>74</v>
      </c>
      <c r="B76" t="s">
        <v>160</v>
      </c>
      <c r="C76" t="s">
        <v>10</v>
      </c>
      <c r="D76" t="s">
        <v>161</v>
      </c>
      <c r="E76">
        <v>130.80000000000001</v>
      </c>
      <c r="F76" t="s">
        <v>12</v>
      </c>
      <c r="G76" s="3">
        <f t="shared" si="3"/>
        <v>5.7339449541284395</v>
      </c>
      <c r="H76">
        <v>2.1</v>
      </c>
      <c r="I76">
        <v>1.7</v>
      </c>
      <c r="J76" s="8">
        <f t="shared" si="4"/>
        <v>5.7339449541284395</v>
      </c>
      <c r="K76" s="7">
        <f t="shared" si="5"/>
        <v>0.26605504587156048</v>
      </c>
      <c r="L76" t="s">
        <v>13</v>
      </c>
      <c r="M76">
        <v>40</v>
      </c>
    </row>
    <row r="77" spans="1:13" ht="12.95" customHeight="1" x14ac:dyDescent="0.2">
      <c r="A77">
        <v>75</v>
      </c>
      <c r="B77" t="s">
        <v>162</v>
      </c>
      <c r="C77" t="s">
        <v>10</v>
      </c>
      <c r="D77" t="s">
        <v>163</v>
      </c>
      <c r="E77">
        <v>133.6</v>
      </c>
      <c r="F77" t="s">
        <v>12</v>
      </c>
      <c r="G77" s="3">
        <f t="shared" si="3"/>
        <v>5.6137724550898209</v>
      </c>
      <c r="H77">
        <v>2.14</v>
      </c>
      <c r="I77">
        <v>1.9</v>
      </c>
      <c r="J77" s="8">
        <f t="shared" si="4"/>
        <v>5.6137724550898209</v>
      </c>
      <c r="K77" s="7">
        <f t="shared" si="5"/>
        <v>0.38622754491017908</v>
      </c>
      <c r="L77" t="s">
        <v>13</v>
      </c>
      <c r="M77">
        <v>40</v>
      </c>
    </row>
    <row r="78" spans="1:13" ht="12.95" customHeight="1" x14ac:dyDescent="0.2">
      <c r="A78">
        <v>76</v>
      </c>
      <c r="B78" t="s">
        <v>164</v>
      </c>
      <c r="C78" t="s">
        <v>10</v>
      </c>
      <c r="D78" t="s">
        <v>165</v>
      </c>
      <c r="E78">
        <v>316.2</v>
      </c>
      <c r="F78" t="s">
        <v>12</v>
      </c>
      <c r="G78" s="3">
        <f t="shared" si="3"/>
        <v>2.3719165085388996</v>
      </c>
      <c r="H78">
        <v>2.13</v>
      </c>
      <c r="I78">
        <v>2.13</v>
      </c>
      <c r="J78" s="8">
        <f t="shared" si="4"/>
        <v>2.3719165085388996</v>
      </c>
      <c r="K78" s="7">
        <f t="shared" si="5"/>
        <v>3.6280834914611004</v>
      </c>
      <c r="L78" t="s">
        <v>13</v>
      </c>
      <c r="M78">
        <v>40</v>
      </c>
    </row>
    <row r="79" spans="1:13" ht="12.95" customHeight="1" x14ac:dyDescent="0.2">
      <c r="A79">
        <v>77</v>
      </c>
      <c r="B79" t="s">
        <v>166</v>
      </c>
      <c r="C79" t="s">
        <v>10</v>
      </c>
      <c r="D79" t="s">
        <v>167</v>
      </c>
      <c r="E79">
        <v>575.6</v>
      </c>
      <c r="F79" t="s">
        <v>12</v>
      </c>
      <c r="G79" s="3">
        <f t="shared" si="3"/>
        <v>1.3029881862404447</v>
      </c>
      <c r="H79">
        <v>2.11</v>
      </c>
      <c r="I79">
        <v>2.34</v>
      </c>
      <c r="J79" s="8">
        <f t="shared" si="4"/>
        <v>1.3029881862404447</v>
      </c>
      <c r="K79" s="7">
        <f t="shared" si="5"/>
        <v>4.6970118137595556</v>
      </c>
      <c r="L79" t="s">
        <v>13</v>
      </c>
      <c r="M79">
        <v>40</v>
      </c>
    </row>
    <row r="80" spans="1:13" ht="12.95" customHeight="1" x14ac:dyDescent="0.2">
      <c r="A80">
        <v>78</v>
      </c>
      <c r="B80" t="s">
        <v>168</v>
      </c>
      <c r="C80" t="s">
        <v>10</v>
      </c>
      <c r="D80" t="s">
        <v>169</v>
      </c>
      <c r="E80">
        <v>404.6</v>
      </c>
      <c r="F80" t="s">
        <v>12</v>
      </c>
      <c r="G80" s="3">
        <f t="shared" si="3"/>
        <v>1.8536826495304002</v>
      </c>
      <c r="H80">
        <v>2.17</v>
      </c>
      <c r="I80">
        <v>2.27</v>
      </c>
      <c r="J80" s="8">
        <f t="shared" si="4"/>
        <v>1.8536826495304002</v>
      </c>
      <c r="K80" s="7">
        <f t="shared" si="5"/>
        <v>4.1463173504695998</v>
      </c>
      <c r="L80" t="s">
        <v>13</v>
      </c>
      <c r="M80">
        <v>40</v>
      </c>
    </row>
    <row r="81" spans="1:13" ht="12.95" customHeight="1" x14ac:dyDescent="0.2">
      <c r="A81">
        <v>79</v>
      </c>
      <c r="B81" t="s">
        <v>170</v>
      </c>
      <c r="C81" t="s">
        <v>10</v>
      </c>
      <c r="D81" t="s">
        <v>171</v>
      </c>
      <c r="E81">
        <v>376.4</v>
      </c>
      <c r="F81" t="s">
        <v>12</v>
      </c>
      <c r="G81" s="3">
        <f t="shared" si="3"/>
        <v>1.9925611052072265</v>
      </c>
      <c r="H81">
        <v>2.17</v>
      </c>
      <c r="I81">
        <v>1.22</v>
      </c>
      <c r="J81" s="8">
        <f t="shared" si="4"/>
        <v>1.9925611052072265</v>
      </c>
      <c r="K81" s="7">
        <f t="shared" si="5"/>
        <v>4.0074388947927737</v>
      </c>
      <c r="L81" t="s">
        <v>13</v>
      </c>
      <c r="M81">
        <v>40</v>
      </c>
    </row>
    <row r="82" spans="1:13" ht="12.95" customHeight="1" x14ac:dyDescent="0.2">
      <c r="A82">
        <v>80</v>
      </c>
      <c r="B82" t="s">
        <v>172</v>
      </c>
      <c r="C82" t="s">
        <v>10</v>
      </c>
      <c r="D82" t="s">
        <v>173</v>
      </c>
      <c r="E82">
        <v>588</v>
      </c>
      <c r="F82" t="s">
        <v>12</v>
      </c>
      <c r="G82" s="3">
        <f t="shared" si="3"/>
        <v>1.2755102040816326</v>
      </c>
      <c r="H82">
        <v>2.1</v>
      </c>
      <c r="I82">
        <v>2.34</v>
      </c>
      <c r="J82" s="8">
        <f t="shared" si="4"/>
        <v>1.2755102040816326</v>
      </c>
      <c r="K82" s="7">
        <f t="shared" si="5"/>
        <v>4.7244897959183678</v>
      </c>
      <c r="L82" t="s">
        <v>13</v>
      </c>
      <c r="M82">
        <v>40</v>
      </c>
    </row>
    <row r="83" spans="1:13" ht="12.95" customHeight="1" x14ac:dyDescent="0.2">
      <c r="A83">
        <v>81</v>
      </c>
      <c r="B83" t="s">
        <v>174</v>
      </c>
      <c r="C83" t="s">
        <v>10</v>
      </c>
      <c r="D83" t="s">
        <v>175</v>
      </c>
      <c r="E83">
        <v>688.5</v>
      </c>
      <c r="F83" t="s">
        <v>12</v>
      </c>
      <c r="G83" s="3">
        <f t="shared" si="3"/>
        <v>1.0893246187363834</v>
      </c>
      <c r="H83">
        <v>2.11</v>
      </c>
      <c r="I83">
        <v>2.2599999999999998</v>
      </c>
      <c r="J83" s="8">
        <f t="shared" si="4"/>
        <v>1.0893246187363834</v>
      </c>
      <c r="K83" s="7">
        <f t="shared" si="5"/>
        <v>4.9106753812636166</v>
      </c>
      <c r="L83" t="s">
        <v>13</v>
      </c>
      <c r="M83">
        <v>40</v>
      </c>
    </row>
    <row r="84" spans="1:13" ht="12.95" customHeight="1" x14ac:dyDescent="0.2">
      <c r="A84">
        <v>82</v>
      </c>
      <c r="B84" t="s">
        <v>176</v>
      </c>
      <c r="C84" t="s">
        <v>10</v>
      </c>
      <c r="D84" t="s">
        <v>177</v>
      </c>
      <c r="E84">
        <v>640.1</v>
      </c>
      <c r="F84" t="s">
        <v>12</v>
      </c>
      <c r="G84" s="3">
        <f t="shared" si="3"/>
        <v>1.1716919231370098</v>
      </c>
      <c r="H84">
        <v>2.1800000000000002</v>
      </c>
      <c r="I84">
        <v>2.2400000000000002</v>
      </c>
      <c r="J84" s="8">
        <f t="shared" si="4"/>
        <v>1.1716919231370098</v>
      </c>
      <c r="K84" s="7">
        <f t="shared" si="5"/>
        <v>4.8283080768629905</v>
      </c>
      <c r="L84" t="s">
        <v>13</v>
      </c>
      <c r="M84">
        <v>40</v>
      </c>
    </row>
    <row r="85" spans="1:13" ht="12.95" customHeight="1" x14ac:dyDescent="0.2">
      <c r="A85">
        <v>83</v>
      </c>
      <c r="B85" t="s">
        <v>178</v>
      </c>
      <c r="C85" t="s">
        <v>10</v>
      </c>
      <c r="D85" t="s">
        <v>179</v>
      </c>
      <c r="E85">
        <v>320.89999999999998</v>
      </c>
      <c r="F85" t="s">
        <v>12</v>
      </c>
      <c r="G85" s="3">
        <f t="shared" si="3"/>
        <v>2.3371766905578064</v>
      </c>
      <c r="H85">
        <v>2.17</v>
      </c>
      <c r="I85">
        <v>2.13</v>
      </c>
      <c r="J85" s="8">
        <f t="shared" si="4"/>
        <v>2.3371766905578064</v>
      </c>
      <c r="K85" s="7">
        <f t="shared" si="5"/>
        <v>3.6628233094421936</v>
      </c>
      <c r="L85" t="s">
        <v>13</v>
      </c>
      <c r="M85">
        <v>40</v>
      </c>
    </row>
    <row r="86" spans="1:13" ht="12.95" customHeight="1" x14ac:dyDescent="0.2">
      <c r="A86">
        <v>84</v>
      </c>
      <c r="B86" t="s">
        <v>180</v>
      </c>
      <c r="C86" t="s">
        <v>10</v>
      </c>
      <c r="D86" t="s">
        <v>181</v>
      </c>
      <c r="E86">
        <v>189.4</v>
      </c>
      <c r="F86" t="s">
        <v>12</v>
      </c>
      <c r="G86" s="3">
        <f t="shared" si="3"/>
        <v>3.9598732840549102</v>
      </c>
      <c r="H86">
        <v>2.19</v>
      </c>
      <c r="I86">
        <v>2.15</v>
      </c>
      <c r="J86" s="8">
        <f t="shared" si="4"/>
        <v>3.9598732840549102</v>
      </c>
      <c r="K86" s="7">
        <f t="shared" si="5"/>
        <v>2.0401267159450898</v>
      </c>
      <c r="L86" t="s">
        <v>13</v>
      </c>
      <c r="M86">
        <v>40</v>
      </c>
    </row>
    <row r="87" spans="1:13" ht="12.95" customHeight="1" x14ac:dyDescent="0.2">
      <c r="A87">
        <v>85</v>
      </c>
      <c r="B87" t="s">
        <v>182</v>
      </c>
      <c r="C87" t="s">
        <v>10</v>
      </c>
      <c r="D87" t="s">
        <v>183</v>
      </c>
      <c r="E87">
        <v>677</v>
      </c>
      <c r="F87" t="s">
        <v>12</v>
      </c>
      <c r="G87" s="3">
        <f t="shared" si="3"/>
        <v>1.1078286558345642</v>
      </c>
      <c r="H87">
        <v>2.09</v>
      </c>
      <c r="I87">
        <v>2.19</v>
      </c>
      <c r="J87" s="8">
        <f t="shared" si="4"/>
        <v>1.1078286558345642</v>
      </c>
      <c r="K87" s="7">
        <f t="shared" si="5"/>
        <v>4.892171344165436</v>
      </c>
      <c r="L87" t="s">
        <v>13</v>
      </c>
      <c r="M87">
        <v>40</v>
      </c>
    </row>
    <row r="88" spans="1:13" ht="12.95" customHeight="1" x14ac:dyDescent="0.2">
      <c r="A88">
        <v>86</v>
      </c>
      <c r="B88" t="s">
        <v>184</v>
      </c>
      <c r="C88" t="s">
        <v>10</v>
      </c>
      <c r="D88" t="s">
        <v>185</v>
      </c>
      <c r="E88">
        <v>618</v>
      </c>
      <c r="F88" t="s">
        <v>12</v>
      </c>
      <c r="G88" s="3">
        <f t="shared" si="3"/>
        <v>1.2135922330097086</v>
      </c>
      <c r="H88">
        <v>2.13</v>
      </c>
      <c r="I88">
        <v>2.2000000000000002</v>
      </c>
      <c r="J88" s="8">
        <f t="shared" si="4"/>
        <v>1.2135922330097086</v>
      </c>
      <c r="K88" s="7">
        <f t="shared" si="5"/>
        <v>4.7864077669902914</v>
      </c>
      <c r="L88" t="s">
        <v>13</v>
      </c>
      <c r="M88">
        <v>40</v>
      </c>
    </row>
    <row r="89" spans="1:13" ht="12.95" customHeight="1" x14ac:dyDescent="0.2">
      <c r="A89">
        <v>87</v>
      </c>
      <c r="B89" t="s">
        <v>186</v>
      </c>
      <c r="C89" t="s">
        <v>10</v>
      </c>
      <c r="D89" t="s">
        <v>187</v>
      </c>
      <c r="E89">
        <v>517.20000000000005</v>
      </c>
      <c r="F89" t="s">
        <v>12</v>
      </c>
      <c r="G89" s="3">
        <f t="shared" si="3"/>
        <v>1.4501160092807424</v>
      </c>
      <c r="H89">
        <v>2.13</v>
      </c>
      <c r="I89">
        <v>2.34</v>
      </c>
      <c r="J89" s="8">
        <f t="shared" si="4"/>
        <v>1.4501160092807424</v>
      </c>
      <c r="K89" s="7">
        <f t="shared" si="5"/>
        <v>4.5498839907192572</v>
      </c>
      <c r="L89" t="s">
        <v>13</v>
      </c>
      <c r="M89">
        <v>40</v>
      </c>
    </row>
    <row r="90" spans="1:13" ht="12.95" customHeight="1" x14ac:dyDescent="0.2">
      <c r="A90">
        <v>88</v>
      </c>
      <c r="B90" t="s">
        <v>188</v>
      </c>
      <c r="C90" t="s">
        <v>10</v>
      </c>
      <c r="D90" t="s">
        <v>189</v>
      </c>
      <c r="E90">
        <v>380.4</v>
      </c>
      <c r="F90" t="s">
        <v>12</v>
      </c>
      <c r="G90" s="3">
        <f t="shared" si="3"/>
        <v>1.9716088328075712</v>
      </c>
      <c r="H90">
        <v>2.16</v>
      </c>
      <c r="I90">
        <v>2.27</v>
      </c>
      <c r="J90" s="8">
        <f t="shared" si="4"/>
        <v>1.9716088328075712</v>
      </c>
      <c r="K90" s="7">
        <f t="shared" si="5"/>
        <v>4.0283911671924288</v>
      </c>
      <c r="L90" t="s">
        <v>13</v>
      </c>
      <c r="M90">
        <v>40</v>
      </c>
    </row>
    <row r="91" spans="1:13" ht="12.95" customHeight="1" x14ac:dyDescent="0.2">
      <c r="A91">
        <v>89</v>
      </c>
      <c r="B91" t="s">
        <v>190</v>
      </c>
      <c r="C91" t="s">
        <v>10</v>
      </c>
      <c r="D91" t="s">
        <v>191</v>
      </c>
      <c r="E91">
        <v>178.8</v>
      </c>
      <c r="F91" t="s">
        <v>12</v>
      </c>
      <c r="G91" s="3">
        <f t="shared" si="3"/>
        <v>4.1946308724832209</v>
      </c>
      <c r="H91">
        <v>2.19</v>
      </c>
      <c r="I91">
        <v>1.35</v>
      </c>
      <c r="J91" s="8">
        <f t="shared" si="4"/>
        <v>4.1946308724832209</v>
      </c>
      <c r="K91" s="7">
        <f t="shared" si="5"/>
        <v>1.8053691275167791</v>
      </c>
      <c r="L91" t="s">
        <v>13</v>
      </c>
      <c r="M91">
        <v>40</v>
      </c>
    </row>
    <row r="92" spans="1:13" ht="12.95" customHeight="1" x14ac:dyDescent="0.2">
      <c r="A92">
        <v>90</v>
      </c>
      <c r="B92" t="s">
        <v>192</v>
      </c>
      <c r="C92" t="s">
        <v>10</v>
      </c>
      <c r="D92" t="s">
        <v>193</v>
      </c>
      <c r="E92">
        <v>257.10000000000002</v>
      </c>
      <c r="F92" t="s">
        <v>12</v>
      </c>
      <c r="G92" s="3">
        <f t="shared" si="3"/>
        <v>2.9171528588098012</v>
      </c>
      <c r="H92">
        <v>2.1800000000000002</v>
      </c>
      <c r="I92">
        <v>2.25</v>
      </c>
      <c r="J92" s="8">
        <f t="shared" si="4"/>
        <v>2.9171528588098012</v>
      </c>
      <c r="K92" s="7">
        <f t="shared" si="5"/>
        <v>3.0828471411901988</v>
      </c>
      <c r="L92" t="s">
        <v>13</v>
      </c>
      <c r="M92">
        <v>40</v>
      </c>
    </row>
    <row r="93" spans="1:13" ht="12.95" customHeight="1" x14ac:dyDescent="0.2">
      <c r="A93">
        <v>91</v>
      </c>
      <c r="B93" t="s">
        <v>194</v>
      </c>
      <c r="C93" t="s">
        <v>10</v>
      </c>
      <c r="D93" t="s">
        <v>195</v>
      </c>
      <c r="E93">
        <v>322.8</v>
      </c>
      <c r="F93" t="s">
        <v>12</v>
      </c>
      <c r="G93" s="3">
        <f t="shared" si="3"/>
        <v>2.3234200743494422</v>
      </c>
      <c r="H93">
        <v>2.1800000000000002</v>
      </c>
      <c r="I93">
        <v>2.14</v>
      </c>
      <c r="J93" s="8">
        <f t="shared" si="4"/>
        <v>2.3234200743494422</v>
      </c>
      <c r="K93" s="7">
        <f t="shared" si="5"/>
        <v>3.6765799256505578</v>
      </c>
      <c r="L93" t="s">
        <v>13</v>
      </c>
      <c r="M93">
        <v>40</v>
      </c>
    </row>
    <row r="94" spans="1:13" ht="12.95" customHeight="1" x14ac:dyDescent="0.2">
      <c r="A94">
        <v>92</v>
      </c>
      <c r="B94" t="s">
        <v>196</v>
      </c>
      <c r="C94" t="s">
        <v>10</v>
      </c>
      <c r="D94" t="s">
        <v>197</v>
      </c>
      <c r="E94">
        <v>434.4</v>
      </c>
      <c r="F94" t="s">
        <v>12</v>
      </c>
      <c r="G94" s="3">
        <f t="shared" si="3"/>
        <v>1.7265193370165748</v>
      </c>
      <c r="H94">
        <v>2.17</v>
      </c>
      <c r="I94">
        <v>2.27</v>
      </c>
      <c r="J94" s="8">
        <f t="shared" si="4"/>
        <v>1.7265193370165748</v>
      </c>
      <c r="K94" s="7">
        <f t="shared" si="5"/>
        <v>4.2734806629834257</v>
      </c>
      <c r="L94" t="s">
        <v>13</v>
      </c>
      <c r="M94">
        <v>40</v>
      </c>
    </row>
    <row r="95" spans="1:13" ht="12.95" customHeight="1" x14ac:dyDescent="0.2">
      <c r="A95">
        <v>93</v>
      </c>
      <c r="B95" t="s">
        <v>198</v>
      </c>
      <c r="C95" t="s">
        <v>10</v>
      </c>
      <c r="D95" t="s">
        <v>199</v>
      </c>
      <c r="E95">
        <v>337</v>
      </c>
      <c r="F95" t="s">
        <v>12</v>
      </c>
      <c r="G95" s="3">
        <f t="shared" si="3"/>
        <v>2.2255192878338277</v>
      </c>
      <c r="H95">
        <v>2.16</v>
      </c>
      <c r="I95">
        <v>1.87</v>
      </c>
      <c r="J95" s="8">
        <f t="shared" si="4"/>
        <v>2.2255192878338277</v>
      </c>
      <c r="K95" s="7">
        <f t="shared" si="5"/>
        <v>3.7744807121661723</v>
      </c>
      <c r="L95" t="s">
        <v>13</v>
      </c>
      <c r="M95">
        <v>40</v>
      </c>
    </row>
    <row r="96" spans="1:13" ht="12.95" customHeight="1" x14ac:dyDescent="0.2">
      <c r="A96">
        <v>94</v>
      </c>
      <c r="B96" t="s">
        <v>241</v>
      </c>
      <c r="C96" t="s">
        <v>10</v>
      </c>
      <c r="D96" t="s">
        <v>200</v>
      </c>
      <c r="E96">
        <v>368.9</v>
      </c>
      <c r="F96" t="s">
        <v>12</v>
      </c>
      <c r="G96" s="3">
        <f t="shared" si="3"/>
        <v>2.0330712930333426</v>
      </c>
      <c r="H96">
        <v>2.16</v>
      </c>
      <c r="I96">
        <v>2.2999999999999998</v>
      </c>
      <c r="J96" s="8">
        <f t="shared" si="4"/>
        <v>2.0330712930333426</v>
      </c>
      <c r="K96" s="7">
        <f t="shared" si="5"/>
        <v>3.9669287069666574</v>
      </c>
      <c r="L96" t="s">
        <v>13</v>
      </c>
      <c r="M96">
        <v>40</v>
      </c>
    </row>
    <row r="97" spans="1:13" ht="12.95" customHeight="1" x14ac:dyDescent="0.2">
      <c r="A97">
        <v>95</v>
      </c>
      <c r="B97" t="s">
        <v>201</v>
      </c>
      <c r="C97" t="s">
        <v>10</v>
      </c>
      <c r="D97" t="s">
        <v>202</v>
      </c>
      <c r="E97">
        <v>773.4</v>
      </c>
      <c r="F97" t="s">
        <v>12</v>
      </c>
      <c r="G97" s="3">
        <f t="shared" si="3"/>
        <v>0.96974398758727698</v>
      </c>
      <c r="H97">
        <v>1.99</v>
      </c>
      <c r="I97">
        <v>2.31</v>
      </c>
      <c r="J97" s="8">
        <f t="shared" si="4"/>
        <v>0.96974398758727698</v>
      </c>
      <c r="K97" s="7">
        <f t="shared" si="5"/>
        <v>5.0302560124127229</v>
      </c>
      <c r="L97" t="s">
        <v>13</v>
      </c>
      <c r="M97">
        <v>40</v>
      </c>
    </row>
    <row r="98" spans="1:13" ht="12.95" customHeight="1" x14ac:dyDescent="0.2">
      <c r="A98">
        <v>96</v>
      </c>
      <c r="B98" t="s">
        <v>203</v>
      </c>
      <c r="C98" t="s">
        <v>10</v>
      </c>
      <c r="D98" t="s">
        <v>204</v>
      </c>
      <c r="E98">
        <v>227.7</v>
      </c>
      <c r="F98" t="s">
        <v>12</v>
      </c>
      <c r="G98" s="3">
        <f t="shared" si="3"/>
        <v>3.293807641633729</v>
      </c>
      <c r="H98">
        <v>2.12</v>
      </c>
      <c r="I98">
        <v>2.13</v>
      </c>
      <c r="J98" s="8">
        <f t="shared" si="4"/>
        <v>3.293807641633729</v>
      </c>
      <c r="K98" s="7">
        <f t="shared" si="5"/>
        <v>2.706192358366271</v>
      </c>
      <c r="L98" t="s">
        <v>13</v>
      </c>
      <c r="M98">
        <v>40</v>
      </c>
    </row>
    <row r="99" spans="1:13" ht="12.95" customHeight="1" x14ac:dyDescent="0.2">
      <c r="A99">
        <v>97</v>
      </c>
      <c r="B99" t="s">
        <v>205</v>
      </c>
      <c r="C99" t="s">
        <v>10</v>
      </c>
      <c r="D99" t="s">
        <v>206</v>
      </c>
      <c r="E99">
        <v>325.3</v>
      </c>
      <c r="F99" t="s">
        <v>12</v>
      </c>
      <c r="G99" s="3">
        <f t="shared" si="3"/>
        <v>2.3055640946818321</v>
      </c>
      <c r="H99">
        <v>2.12</v>
      </c>
      <c r="I99">
        <v>2.19</v>
      </c>
      <c r="J99" s="8">
        <f t="shared" si="4"/>
        <v>2.3055640946818321</v>
      </c>
      <c r="K99" s="7">
        <f t="shared" si="5"/>
        <v>3.6944359053181679</v>
      </c>
      <c r="L99" t="s">
        <v>13</v>
      </c>
      <c r="M99">
        <v>40</v>
      </c>
    </row>
    <row r="100" spans="1:13" ht="12.95" customHeight="1" x14ac:dyDescent="0.2">
      <c r="A100">
        <v>98</v>
      </c>
      <c r="B100" t="s">
        <v>207</v>
      </c>
      <c r="C100" t="s">
        <v>10</v>
      </c>
      <c r="D100" t="s">
        <v>208</v>
      </c>
      <c r="E100">
        <v>350.5</v>
      </c>
      <c r="F100" t="s">
        <v>12</v>
      </c>
      <c r="G100" s="3">
        <f t="shared" si="3"/>
        <v>2.1398002853067046</v>
      </c>
      <c r="H100">
        <v>2.13</v>
      </c>
      <c r="I100">
        <v>2.23</v>
      </c>
      <c r="J100" s="8">
        <f t="shared" si="4"/>
        <v>2.1398002853067046</v>
      </c>
      <c r="K100" s="7">
        <f t="shared" si="5"/>
        <v>3.8601997146932954</v>
      </c>
      <c r="L100" t="s">
        <v>13</v>
      </c>
      <c r="M100">
        <v>40</v>
      </c>
    </row>
    <row r="101" spans="1:13" ht="12.95" customHeight="1" x14ac:dyDescent="0.2">
      <c r="A101">
        <v>99</v>
      </c>
      <c r="B101" t="s">
        <v>209</v>
      </c>
      <c r="C101" t="s">
        <v>10</v>
      </c>
      <c r="D101" t="s">
        <v>210</v>
      </c>
      <c r="E101">
        <v>94.6</v>
      </c>
      <c r="F101" t="s">
        <v>12</v>
      </c>
      <c r="G101" s="3">
        <f t="shared" si="3"/>
        <v>7.9281183932346728</v>
      </c>
      <c r="H101">
        <v>2.13</v>
      </c>
      <c r="I101">
        <v>2.21</v>
      </c>
      <c r="J101" s="8">
        <f t="shared" si="4"/>
        <v>6</v>
      </c>
      <c r="K101" s="7">
        <f t="shared" si="5"/>
        <v>0</v>
      </c>
      <c r="L101" t="s">
        <v>13</v>
      </c>
      <c r="M101">
        <v>40</v>
      </c>
    </row>
    <row r="102" spans="1:13" ht="12.95" customHeight="1" x14ac:dyDescent="0.2">
      <c r="A102">
        <v>100</v>
      </c>
      <c r="B102" t="s">
        <v>211</v>
      </c>
      <c r="C102" t="s">
        <v>10</v>
      </c>
      <c r="D102" t="s">
        <v>212</v>
      </c>
      <c r="E102">
        <v>89.5</v>
      </c>
      <c r="F102" t="s">
        <v>12</v>
      </c>
      <c r="G102" s="3">
        <f t="shared" si="3"/>
        <v>8.3798882681564244</v>
      </c>
      <c r="H102">
        <v>2.15</v>
      </c>
      <c r="I102">
        <v>0.8</v>
      </c>
      <c r="J102" s="8">
        <f t="shared" si="4"/>
        <v>6</v>
      </c>
      <c r="K102" s="7">
        <f t="shared" si="5"/>
        <v>0</v>
      </c>
      <c r="L102" t="s">
        <v>13</v>
      </c>
      <c r="M102">
        <v>40</v>
      </c>
    </row>
    <row r="103" spans="1:13" ht="12.95" customHeight="1" x14ac:dyDescent="0.2">
      <c r="A103">
        <v>101</v>
      </c>
      <c r="B103" t="s">
        <v>213</v>
      </c>
      <c r="C103" t="s">
        <v>10</v>
      </c>
      <c r="D103" t="s">
        <v>214</v>
      </c>
      <c r="E103">
        <v>1133.5999999999999</v>
      </c>
      <c r="F103" t="s">
        <v>12</v>
      </c>
      <c r="G103" s="3">
        <f t="shared" si="3"/>
        <v>0.66160903316866626</v>
      </c>
      <c r="H103">
        <v>2.0499999999999998</v>
      </c>
      <c r="I103">
        <v>2.31</v>
      </c>
      <c r="J103" s="8">
        <f t="shared" si="4"/>
        <v>0.66160903316866626</v>
      </c>
      <c r="K103" s="7">
        <f t="shared" si="5"/>
        <v>5.3383909668313336</v>
      </c>
      <c r="L103" t="s">
        <v>13</v>
      </c>
      <c r="M103">
        <v>40</v>
      </c>
    </row>
    <row r="104" spans="1:13" ht="12.95" customHeight="1" x14ac:dyDescent="0.2">
      <c r="A104">
        <v>102</v>
      </c>
      <c r="B104" t="s">
        <v>215</v>
      </c>
      <c r="C104" t="s">
        <v>10</v>
      </c>
      <c r="D104" t="s">
        <v>216</v>
      </c>
      <c r="E104">
        <v>286.39999999999998</v>
      </c>
      <c r="F104" t="s">
        <v>12</v>
      </c>
      <c r="G104" s="3">
        <f t="shared" si="3"/>
        <v>2.6187150837988828</v>
      </c>
      <c r="H104">
        <v>2.12</v>
      </c>
      <c r="I104">
        <v>2.2799999999999998</v>
      </c>
      <c r="J104" s="8">
        <f t="shared" si="4"/>
        <v>2.6187150837988828</v>
      </c>
      <c r="K104" s="7">
        <f t="shared" si="5"/>
        <v>3.3812849162011172</v>
      </c>
      <c r="L104" t="s">
        <v>13</v>
      </c>
      <c r="M104">
        <v>40</v>
      </c>
    </row>
    <row r="105" spans="1:13" ht="12.95" customHeight="1" x14ac:dyDescent="0.2">
      <c r="A105">
        <v>103</v>
      </c>
      <c r="B105" t="s">
        <v>217</v>
      </c>
      <c r="C105" t="s">
        <v>10</v>
      </c>
      <c r="D105" t="s">
        <v>218</v>
      </c>
      <c r="E105">
        <v>305.60000000000002</v>
      </c>
      <c r="F105" t="s">
        <v>12</v>
      </c>
      <c r="G105" s="3">
        <f t="shared" si="3"/>
        <v>2.4541884816753923</v>
      </c>
      <c r="H105">
        <v>2.11</v>
      </c>
      <c r="I105">
        <v>1.98</v>
      </c>
      <c r="J105" s="8">
        <f t="shared" si="4"/>
        <v>2.4541884816753923</v>
      </c>
      <c r="K105" s="7">
        <f t="shared" si="5"/>
        <v>3.5458115183246077</v>
      </c>
      <c r="L105" t="s">
        <v>13</v>
      </c>
      <c r="M105">
        <v>40</v>
      </c>
    </row>
    <row r="106" spans="1:13" ht="12.95" customHeight="1" x14ac:dyDescent="0.2">
      <c r="A106">
        <v>104</v>
      </c>
      <c r="B106" t="s">
        <v>219</v>
      </c>
      <c r="C106" t="s">
        <v>10</v>
      </c>
      <c r="D106" t="s">
        <v>220</v>
      </c>
      <c r="E106">
        <v>546.5</v>
      </c>
      <c r="F106" t="s">
        <v>12</v>
      </c>
      <c r="G106" s="3">
        <f t="shared" si="3"/>
        <v>1.3723696248856359</v>
      </c>
      <c r="H106">
        <v>1.96</v>
      </c>
      <c r="I106">
        <v>2.1800000000000002</v>
      </c>
      <c r="J106" s="8">
        <f t="shared" si="4"/>
        <v>1.3723696248856359</v>
      </c>
      <c r="K106" s="7">
        <f t="shared" si="5"/>
        <v>4.6276303751143644</v>
      </c>
      <c r="L106" t="s">
        <v>13</v>
      </c>
      <c r="M106">
        <v>40</v>
      </c>
    </row>
    <row r="107" spans="1:13" ht="12.95" customHeight="1" x14ac:dyDescent="0.2">
      <c r="A107">
        <v>105</v>
      </c>
      <c r="B107" t="s">
        <v>221</v>
      </c>
      <c r="C107" t="s">
        <v>10</v>
      </c>
      <c r="D107" t="s">
        <v>222</v>
      </c>
      <c r="E107">
        <v>630.29999999999995</v>
      </c>
      <c r="F107" t="s">
        <v>12</v>
      </c>
      <c r="G107" s="3">
        <f t="shared" si="3"/>
        <v>1.1899095668729178</v>
      </c>
      <c r="H107">
        <v>2</v>
      </c>
      <c r="I107">
        <v>2.15</v>
      </c>
      <c r="J107" s="8">
        <f t="shared" si="4"/>
        <v>1.1899095668729178</v>
      </c>
      <c r="K107" s="7">
        <f t="shared" si="5"/>
        <v>4.8100904331270824</v>
      </c>
      <c r="L107" t="s">
        <v>13</v>
      </c>
      <c r="M107">
        <v>40</v>
      </c>
    </row>
    <row r="108" spans="1:13" ht="12.95" customHeight="1" x14ac:dyDescent="0.2">
      <c r="A108">
        <v>106</v>
      </c>
      <c r="B108" t="s">
        <v>223</v>
      </c>
      <c r="C108" t="s">
        <v>10</v>
      </c>
      <c r="D108" t="s">
        <v>224</v>
      </c>
      <c r="E108">
        <v>1178.8</v>
      </c>
      <c r="F108" t="s">
        <v>12</v>
      </c>
      <c r="G108" s="3">
        <f t="shared" si="3"/>
        <v>0.63624024431625381</v>
      </c>
      <c r="H108">
        <v>2.06</v>
      </c>
      <c r="I108">
        <v>2.2400000000000002</v>
      </c>
      <c r="J108" s="8">
        <f t="shared" si="4"/>
        <v>0.63624024431625381</v>
      </c>
      <c r="K108" s="7">
        <f t="shared" si="5"/>
        <v>5.3637597556837466</v>
      </c>
      <c r="L108" t="s">
        <v>13</v>
      </c>
      <c r="M108">
        <v>40</v>
      </c>
    </row>
    <row r="109" spans="1:13" ht="12.95" customHeight="1" x14ac:dyDescent="0.2">
      <c r="A109">
        <v>107</v>
      </c>
      <c r="B109" t="s">
        <v>225</v>
      </c>
      <c r="C109" t="s">
        <v>10</v>
      </c>
      <c r="D109" t="s">
        <v>226</v>
      </c>
      <c r="E109">
        <v>565</v>
      </c>
      <c r="F109" t="s">
        <v>12</v>
      </c>
      <c r="G109" s="3">
        <f t="shared" si="3"/>
        <v>1.3274336283185841</v>
      </c>
      <c r="H109">
        <v>2.0299999999999998</v>
      </c>
      <c r="I109">
        <v>1.72</v>
      </c>
      <c r="J109" s="8">
        <f t="shared" si="4"/>
        <v>1.3274336283185841</v>
      </c>
      <c r="K109" s="7">
        <f t="shared" si="5"/>
        <v>4.6725663716814161</v>
      </c>
      <c r="L109" t="s">
        <v>13</v>
      </c>
      <c r="M109">
        <v>40</v>
      </c>
    </row>
    <row r="110" spans="1:13" ht="12.95" customHeight="1" x14ac:dyDescent="0.2">
      <c r="A110">
        <v>108</v>
      </c>
      <c r="B110" t="s">
        <v>227</v>
      </c>
      <c r="C110" t="s">
        <v>10</v>
      </c>
      <c r="D110" t="s">
        <v>228</v>
      </c>
      <c r="E110">
        <v>233.8</v>
      </c>
      <c r="F110" t="s">
        <v>12</v>
      </c>
      <c r="G110" s="3">
        <f t="shared" si="3"/>
        <v>3.20786997433704</v>
      </c>
      <c r="H110">
        <v>2.12</v>
      </c>
      <c r="I110">
        <v>1.9</v>
      </c>
      <c r="J110" s="8">
        <f t="shared" si="4"/>
        <v>3.20786997433704</v>
      </c>
      <c r="K110" s="7">
        <f t="shared" si="5"/>
        <v>2.79213002566296</v>
      </c>
      <c r="L110" t="s">
        <v>13</v>
      </c>
      <c r="M110">
        <v>40</v>
      </c>
    </row>
    <row r="111" spans="1:13" ht="12.95" customHeight="1" x14ac:dyDescent="0.2">
      <c r="A111">
        <v>109</v>
      </c>
      <c r="B111" t="s">
        <v>229</v>
      </c>
      <c r="C111" t="s">
        <v>10</v>
      </c>
      <c r="D111" t="s">
        <v>230</v>
      </c>
      <c r="E111">
        <v>290.8</v>
      </c>
      <c r="F111" t="s">
        <v>12</v>
      </c>
      <c r="G111" s="3">
        <f t="shared" si="3"/>
        <v>2.5790921595598348</v>
      </c>
      <c r="H111">
        <v>2.12</v>
      </c>
      <c r="I111">
        <v>2.27</v>
      </c>
      <c r="J111" s="8">
        <f t="shared" si="4"/>
        <v>2.5790921595598348</v>
      </c>
      <c r="K111" s="7">
        <f t="shared" si="5"/>
        <v>3.4209078404401652</v>
      </c>
      <c r="L111" t="s">
        <v>13</v>
      </c>
      <c r="M111">
        <v>40</v>
      </c>
    </row>
    <row r="112" spans="1:13" ht="12.95" customHeight="1" x14ac:dyDescent="0.2">
      <c r="A112">
        <v>110</v>
      </c>
      <c r="B112" t="s">
        <v>231</v>
      </c>
      <c r="C112" t="s">
        <v>10</v>
      </c>
      <c r="D112" t="s">
        <v>232</v>
      </c>
      <c r="E112">
        <v>246.8</v>
      </c>
      <c r="F112" t="s">
        <v>12</v>
      </c>
      <c r="G112" s="3">
        <f t="shared" si="3"/>
        <v>3.0388978930307942</v>
      </c>
      <c r="H112">
        <v>2.13</v>
      </c>
      <c r="I112">
        <v>1.66</v>
      </c>
      <c r="J112" s="8">
        <f t="shared" si="4"/>
        <v>3.0388978930307942</v>
      </c>
      <c r="K112" s="7">
        <f t="shared" si="5"/>
        <v>2.9611021069692058</v>
      </c>
      <c r="L112" t="s">
        <v>13</v>
      </c>
      <c r="M112">
        <v>40</v>
      </c>
    </row>
    <row r="113" spans="1:13" ht="12.95" customHeight="1" x14ac:dyDescent="0.2">
      <c r="A113">
        <v>111</v>
      </c>
      <c r="B113" t="s">
        <v>233</v>
      </c>
      <c r="C113" t="s">
        <v>10</v>
      </c>
      <c r="D113" t="s">
        <v>234</v>
      </c>
      <c r="E113">
        <v>718.6</v>
      </c>
      <c r="F113" t="s">
        <v>12</v>
      </c>
      <c r="G113" s="3">
        <f t="shared" si="3"/>
        <v>1.0436960757027554</v>
      </c>
      <c r="H113">
        <v>2</v>
      </c>
      <c r="I113">
        <v>1.94</v>
      </c>
      <c r="J113" s="8">
        <f t="shared" si="4"/>
        <v>1.0436960757027554</v>
      </c>
      <c r="K113" s="7">
        <f t="shared" si="5"/>
        <v>4.9563039242972451</v>
      </c>
      <c r="L113" t="s">
        <v>13</v>
      </c>
      <c r="M113">
        <v>40</v>
      </c>
    </row>
    <row r="114" spans="1:13" ht="12.95" customHeight="1" x14ac:dyDescent="0.2">
      <c r="A114">
        <v>112</v>
      </c>
      <c r="B114" t="s">
        <v>240</v>
      </c>
      <c r="C114" t="s">
        <v>10</v>
      </c>
      <c r="D114" t="s">
        <v>235</v>
      </c>
      <c r="E114">
        <v>469.2</v>
      </c>
      <c r="F114" t="s">
        <v>12</v>
      </c>
      <c r="G114" s="3">
        <f t="shared" si="3"/>
        <v>1.5984654731457801</v>
      </c>
      <c r="H114">
        <v>2.13</v>
      </c>
      <c r="I114">
        <v>2.23</v>
      </c>
      <c r="J114" s="8">
        <f t="shared" si="4"/>
        <v>1.5984654731457801</v>
      </c>
      <c r="K114" s="7">
        <f t="shared" si="5"/>
        <v>4.4015345268542196</v>
      </c>
      <c r="L114" t="s">
        <v>13</v>
      </c>
      <c r="M114">
        <v>40</v>
      </c>
    </row>
  </sheetData>
  <conditionalFormatting sqref="E1:E114">
    <cfRule type="cellIs" dxfId="463" priority="1" operator="lessThan">
      <formula>25</formula>
    </cfRule>
    <cfRule type="cellIs" dxfId="462" priority="2" operator="lessThan">
      <formula>100</formula>
    </cfRule>
    <cfRule type="cellIs" dxfId="461" priority="10" operator="lessThan">
      <formula>100</formula>
    </cfRule>
  </conditionalFormatting>
  <conditionalFormatting sqref="H1:H114">
    <cfRule type="cellIs" dxfId="460" priority="8" operator="between">
      <formula>0.5</formula>
      <formula>1.6</formula>
    </cfRule>
    <cfRule type="cellIs" dxfId="459" priority="9" operator="lessThan">
      <formula>1.6</formula>
    </cfRule>
  </conditionalFormatting>
  <conditionalFormatting sqref="I1:I114">
    <cfRule type="cellIs" dxfId="458" priority="3" operator="lessThan">
      <formula>0.5</formula>
    </cfRule>
    <cfRule type="cellIs" dxfId="457" priority="4" operator="between">
      <formula>0.5</formula>
      <formula>1.75</formula>
    </cfRule>
    <cfRule type="cellIs" dxfId="456" priority="5" operator="between">
      <formula>0.5</formula>
      <formula>1.75</formula>
    </cfRule>
    <cfRule type="cellIs" dxfId="455" priority="6" operator="between">
      <formula>1.2</formula>
      <formula>1.6</formula>
    </cfRule>
    <cfRule type="cellIs" dxfId="454" priority="7" operator="lessThan">
      <formula>1.2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66"/>
  <sheetViews>
    <sheetView workbookViewId="0">
      <selection activeCell="A59" sqref="A59:I66"/>
    </sheetView>
  </sheetViews>
  <sheetFormatPr defaultColWidth="11.42578125" defaultRowHeight="12.75" x14ac:dyDescent="0.2"/>
  <sheetData>
    <row r="1" spans="1:20" ht="16.5" thickBot="1" x14ac:dyDescent="0.25">
      <c r="B1" s="10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</row>
    <row r="2" spans="1:20" x14ac:dyDescent="0.2">
      <c r="B2" t="s">
        <v>9</v>
      </c>
      <c r="C2" t="s">
        <v>14</v>
      </c>
      <c r="D2" t="s">
        <v>16</v>
      </c>
      <c r="E2" t="s">
        <v>18</v>
      </c>
      <c r="F2" t="s">
        <v>20</v>
      </c>
      <c r="G2" t="s">
        <v>22</v>
      </c>
      <c r="H2" t="s">
        <v>24</v>
      </c>
      <c r="I2" t="s">
        <v>26</v>
      </c>
      <c r="K2" t="s">
        <v>242</v>
      </c>
    </row>
    <row r="3" spans="1:20" x14ac:dyDescent="0.2">
      <c r="B3" s="13">
        <f>VLOOKUP(B2, RNA!$B$2:$K$113, 9, FALSE)</f>
        <v>3.6443148688046647</v>
      </c>
      <c r="C3" s="13">
        <f>VLOOKUP(C2, RNA!$B$2:$K$113, 9, FALSE)</f>
        <v>2.7105168052041924</v>
      </c>
      <c r="D3" s="13">
        <f>VLOOKUP(D2, RNA!$B$2:$K$113, 9, FALSE)</f>
        <v>1.7823193916349809</v>
      </c>
      <c r="E3" s="13">
        <f>VLOOKUP(E2, RNA!$B$2:$K$113, 9, FALSE)</f>
        <v>2.6968716289104635</v>
      </c>
      <c r="F3" s="13">
        <f>VLOOKUP(F2, RNA!$B$2:$K$113, 9, FALSE)</f>
        <v>3.4137460172963134</v>
      </c>
      <c r="G3" s="13">
        <f>VLOOKUP(G2, RNA!$B$2:$K$113, 9, FALSE)</f>
        <v>2.2381378692927485</v>
      </c>
      <c r="H3" s="13">
        <f>VLOOKUP(H2, RNA!$B$2:$K$113, 9, FALSE)</f>
        <v>1.6899504281207751</v>
      </c>
      <c r="I3" s="13">
        <f>VLOOKUP(I2, RNA!$B$2:$K$113, 9, FALSE)</f>
        <v>2.2747952684258417</v>
      </c>
    </row>
    <row r="4" spans="1:20" x14ac:dyDescent="0.2">
      <c r="A4">
        <v>1</v>
      </c>
      <c r="B4" s="13">
        <f>VLOOKUP(B2, RNA!$B$2:$K$113, 10, FALSE)</f>
        <v>2.3556851311953353</v>
      </c>
      <c r="C4" s="13">
        <f>VLOOKUP(C2, RNA!$B$2:$K$113, 10, FALSE)</f>
        <v>3.2894831947958076</v>
      </c>
      <c r="D4" s="13">
        <f>VLOOKUP(D2, RNA!$B$2:$K$113, 10, FALSE)</f>
        <v>4.2176806083650193</v>
      </c>
      <c r="E4" s="13">
        <f>VLOOKUP(E2, RNA!$B$2:$K$113, 10, FALSE)</f>
        <v>3.3031283710895365</v>
      </c>
      <c r="F4" s="13">
        <f>VLOOKUP(F2, RNA!$B$2:$K$113, 10, FALSE)</f>
        <v>2.5862539827036866</v>
      </c>
      <c r="G4" s="13">
        <f>VLOOKUP(G2, RNA!$B$2:$K$113, 10, FALSE)</f>
        <v>3.7618621307072515</v>
      </c>
      <c r="H4" s="13">
        <f>VLOOKUP(H2, RNA!$B$2:$K$113, 10, FALSE)</f>
        <v>4.3100495718792251</v>
      </c>
      <c r="I4" s="13">
        <f>VLOOKUP(I2, RNA!$B$2:$K$113, 10, FALSE)</f>
        <v>3.7252047315741583</v>
      </c>
    </row>
    <row r="6" spans="1:20" x14ac:dyDescent="0.2">
      <c r="B6" t="s">
        <v>28</v>
      </c>
      <c r="C6" t="s">
        <v>30</v>
      </c>
      <c r="D6" t="s">
        <v>32</v>
      </c>
      <c r="E6" t="s">
        <v>34</v>
      </c>
      <c r="F6" t="s">
        <v>36</v>
      </c>
      <c r="G6" t="s">
        <v>38</v>
      </c>
      <c r="H6" t="s">
        <v>40</v>
      </c>
      <c r="I6" t="s">
        <v>42</v>
      </c>
    </row>
    <row r="7" spans="1:20" x14ac:dyDescent="0.2">
      <c r="B7" s="13">
        <f>VLOOKUP(B6, RNA!$B$2:$K$113, 9, FALSE)</f>
        <v>3.0587275693311584</v>
      </c>
      <c r="C7" s="13">
        <f>VLOOKUP(C6, RNA!$B$2:$K$113, 9, FALSE)</f>
        <v>1.1859582542694498</v>
      </c>
      <c r="D7" s="13">
        <f>VLOOKUP(D6, RNA!$B$2:$K$113, 9, FALSE)</f>
        <v>2.978554408260524</v>
      </c>
      <c r="E7" s="13">
        <f>VLOOKUP(E6, RNA!$B$2:$K$113, 9, FALSE)</f>
        <v>1.3698630136986301</v>
      </c>
      <c r="F7" s="13">
        <f>VLOOKUP(F6, RNA!$B$2:$K$113, 9, FALSE)</f>
        <v>2.4630541871921183</v>
      </c>
      <c r="G7" s="13">
        <f>VLOOKUP(G6, RNA!$B$2:$K$113, 9, FALSE)</f>
        <v>3.6692759295499022</v>
      </c>
      <c r="H7" s="13">
        <f>VLOOKUP(H6, RNA!$B$2:$K$113, 9, FALSE)</f>
        <v>2.358490566037736</v>
      </c>
      <c r="I7" s="13">
        <f>VLOOKUP(I6, RNA!$B$2:$K$113, 9, FALSE)</f>
        <v>1.6960651289009498</v>
      </c>
    </row>
    <row r="8" spans="1:20" x14ac:dyDescent="0.2">
      <c r="A8">
        <v>2</v>
      </c>
      <c r="B8" s="13">
        <f>VLOOKUP(B6, RNA!$B$2:$K$113, 10, FALSE)</f>
        <v>2.9412724306688416</v>
      </c>
      <c r="C8" s="13">
        <f>VLOOKUP(C6, RNA!$B$2:$K$113, 10, FALSE)</f>
        <v>4.8140417457305507</v>
      </c>
      <c r="D8" s="13">
        <f>VLOOKUP(D6, RNA!$B$2:$K$113, 10, FALSE)</f>
        <v>3.021445591739476</v>
      </c>
      <c r="E8" s="13">
        <f>VLOOKUP(E6, RNA!$B$2:$K$113, 10, FALSE)</f>
        <v>4.6301369863013697</v>
      </c>
      <c r="F8" s="13">
        <f>VLOOKUP(F6, RNA!$B$2:$K$113, 10, FALSE)</f>
        <v>3.5369458128078817</v>
      </c>
      <c r="G8" s="13">
        <f>VLOOKUP(G6, RNA!$B$2:$K$113, 10, FALSE)</f>
        <v>2.3307240704500978</v>
      </c>
      <c r="H8" s="13">
        <f>VLOOKUP(H6, RNA!$B$2:$K$113, 10, FALSE)</f>
        <v>3.641509433962264</v>
      </c>
      <c r="I8" s="13">
        <f>VLOOKUP(I6, RNA!$B$2:$K$113, 10, FALSE)</f>
        <v>4.3039348710990506</v>
      </c>
    </row>
    <row r="10" spans="1:20" ht="13.5" thickBot="1" x14ac:dyDescent="0.25">
      <c r="B10" t="s">
        <v>44</v>
      </c>
      <c r="C10" t="s">
        <v>46</v>
      </c>
      <c r="D10" t="s">
        <v>48</v>
      </c>
      <c r="E10" t="s">
        <v>50</v>
      </c>
      <c r="F10" t="s">
        <v>52</v>
      </c>
      <c r="G10" t="s">
        <v>54</v>
      </c>
      <c r="H10" t="s">
        <v>56</v>
      </c>
      <c r="I10" t="s">
        <v>58</v>
      </c>
    </row>
    <row r="11" spans="1:20" ht="13.5" thickBot="1" x14ac:dyDescent="0.25">
      <c r="B11" s="13">
        <f>VLOOKUP(B10, RNA!$B$2:$K$113, 9, FALSE)</f>
        <v>1.8221574344023324</v>
      </c>
      <c r="C11" s="13">
        <f>VLOOKUP(C10, RNA!$B$2:$K$113, 9, FALSE)</f>
        <v>2.6785714285714284</v>
      </c>
      <c r="D11" s="13">
        <f>VLOOKUP(D10, RNA!$B$2:$K$113, 9, FALSE)</f>
        <v>1.0910677916787896</v>
      </c>
      <c r="E11" s="13">
        <f>VLOOKUP(E10, RNA!$B$2:$K$113, 9, FALSE)</f>
        <v>6</v>
      </c>
      <c r="F11" s="13">
        <f>VLOOKUP(F10, RNA!$B$2:$K$113, 9, FALSE)</f>
        <v>2.1827706635622817</v>
      </c>
      <c r="G11" s="13">
        <f>VLOOKUP(G10, RNA!$B$2:$K$113, 9, FALSE)</f>
        <v>6</v>
      </c>
      <c r="H11" s="13">
        <f>VLOOKUP(H10, RNA!$B$2:$K$113, 9, FALSE)</f>
        <v>4.5153521974714028</v>
      </c>
      <c r="I11" s="13">
        <f>VLOOKUP(I10, RNA!$B$2:$K$113, 9, FALSE)</f>
        <v>1.1031033975584645</v>
      </c>
      <c r="L11" s="14">
        <v>1</v>
      </c>
      <c r="M11" s="15" t="s">
        <v>9</v>
      </c>
      <c r="N11" s="15" t="s">
        <v>14</v>
      </c>
      <c r="O11" s="15" t="s">
        <v>16</v>
      </c>
      <c r="P11" s="15" t="s">
        <v>18</v>
      </c>
      <c r="Q11" s="15" t="s">
        <v>20</v>
      </c>
      <c r="R11" s="15" t="s">
        <v>22</v>
      </c>
      <c r="S11" s="15" t="s">
        <v>24</v>
      </c>
      <c r="T11" s="16" t="s">
        <v>26</v>
      </c>
    </row>
    <row r="12" spans="1:20" ht="13.5" thickBot="1" x14ac:dyDescent="0.25">
      <c r="A12">
        <v>3</v>
      </c>
      <c r="B12" s="13">
        <f>VLOOKUP(B10, RNA!$B$2:$K$113, 10, FALSE)</f>
        <v>4.1778425655976674</v>
      </c>
      <c r="C12" s="13">
        <f>VLOOKUP(C10, RNA!$B$2:$K$113, 10, FALSE)</f>
        <v>3.3214285714285716</v>
      </c>
      <c r="D12" s="13">
        <f>VLOOKUP(D10, RNA!$B$2:$K$113, 10, FALSE)</f>
        <v>4.9089322083212101</v>
      </c>
      <c r="E12" s="13">
        <f>VLOOKUP(E10, RNA!$B$2:$K$113, 10, FALSE)</f>
        <v>0</v>
      </c>
      <c r="F12" s="13">
        <f>VLOOKUP(F10, RNA!$B$2:$K$113, 10, FALSE)</f>
        <v>3.8172293364377183</v>
      </c>
      <c r="G12" s="13">
        <f>VLOOKUP(G10, RNA!$B$2:$K$113, 10, FALSE)</f>
        <v>0</v>
      </c>
      <c r="H12" s="13">
        <f>VLOOKUP(H10, RNA!$B$2:$K$113, 10, FALSE)</f>
        <v>1.4846478025285972</v>
      </c>
      <c r="I12" s="13">
        <f>VLOOKUP(I10, RNA!$B$2:$K$113, 10, FALSE)</f>
        <v>4.8968966024415357</v>
      </c>
    </row>
    <row r="13" spans="1:20" ht="13.5" thickBot="1" x14ac:dyDescent="0.25">
      <c r="L13" s="14">
        <v>2</v>
      </c>
      <c r="M13" s="15" t="s">
        <v>28</v>
      </c>
      <c r="N13" s="15" t="s">
        <v>30</v>
      </c>
      <c r="O13" s="15" t="s">
        <v>32</v>
      </c>
      <c r="P13" s="15" t="s">
        <v>34</v>
      </c>
      <c r="Q13" s="15" t="s">
        <v>36</v>
      </c>
      <c r="R13" s="15" t="s">
        <v>38</v>
      </c>
      <c r="S13" s="15" t="s">
        <v>40</v>
      </c>
      <c r="T13" s="16" t="s">
        <v>42</v>
      </c>
    </row>
    <row r="14" spans="1:20" ht="13.5" thickBot="1" x14ac:dyDescent="0.25">
      <c r="B14" t="s">
        <v>60</v>
      </c>
      <c r="C14" t="s">
        <v>62</v>
      </c>
      <c r="D14" t="s">
        <v>64</v>
      </c>
      <c r="E14" t="s">
        <v>66</v>
      </c>
      <c r="F14" t="s">
        <v>68</v>
      </c>
      <c r="G14" t="s">
        <v>70</v>
      </c>
      <c r="H14" t="s">
        <v>72</v>
      </c>
      <c r="I14" t="s">
        <v>74</v>
      </c>
    </row>
    <row r="15" spans="1:20" ht="13.5" thickBot="1" x14ac:dyDescent="0.25">
      <c r="B15" s="13">
        <f>VLOOKUP(B14, RNA!$B$2:$K$113, 9, FALSE)</f>
        <v>1.2813941568426448</v>
      </c>
      <c r="C15" s="13">
        <f>VLOOKUP(C14, RNA!$B$2:$K$113, 9, FALSE)</f>
        <v>3.9957378795950986</v>
      </c>
      <c r="D15" s="13">
        <f>VLOOKUP(D14, RNA!$B$2:$K$113, 9, FALSE)</f>
        <v>3.1525851197982346</v>
      </c>
      <c r="E15" s="13">
        <f>VLOOKUP(E14, RNA!$B$2:$K$113, 9, FALSE)</f>
        <v>6</v>
      </c>
      <c r="F15" s="13">
        <f>VLOOKUP(F14, RNA!$B$2:$K$113, 9, FALSE)</f>
        <v>4.213483146067416</v>
      </c>
      <c r="G15" s="13">
        <f>VLOOKUP(G14, RNA!$B$2:$K$113, 9, FALSE)</f>
        <v>1.7393320964749537</v>
      </c>
      <c r="H15" s="13">
        <f>VLOOKUP(H14, RNA!$B$2:$K$113, 9, FALSE)</f>
        <v>4.4117647058823533</v>
      </c>
      <c r="I15" s="13">
        <f>VLOOKUP(I14, RNA!$B$2:$K$113, 9, FALSE)</f>
        <v>6</v>
      </c>
      <c r="L15" s="14">
        <v>3</v>
      </c>
      <c r="M15" s="15" t="s">
        <v>44</v>
      </c>
      <c r="N15" s="15" t="s">
        <v>46</v>
      </c>
      <c r="O15" s="15" t="s">
        <v>48</v>
      </c>
      <c r="P15" s="15" t="s">
        <v>50</v>
      </c>
      <c r="Q15" s="15" t="s">
        <v>52</v>
      </c>
      <c r="R15" s="15" t="s">
        <v>54</v>
      </c>
      <c r="S15" s="15" t="s">
        <v>56</v>
      </c>
      <c r="T15" s="16" t="s">
        <v>58</v>
      </c>
    </row>
    <row r="16" spans="1:20" ht="13.5" thickBot="1" x14ac:dyDescent="0.25">
      <c r="A16">
        <v>4</v>
      </c>
      <c r="B16" s="13">
        <f>VLOOKUP(B14, RNA!$B$2:$K$113, 10, FALSE)</f>
        <v>4.7186058431573557</v>
      </c>
      <c r="C16" s="13">
        <f>VLOOKUP(C14, RNA!$B$2:$K$113, 10, FALSE)</f>
        <v>2.0042621204049014</v>
      </c>
      <c r="D16" s="13">
        <f>VLOOKUP(D14, RNA!$B$2:$K$113, 10, FALSE)</f>
        <v>2.8474148802017654</v>
      </c>
      <c r="E16" s="13">
        <f>VLOOKUP(E14, RNA!$B$2:$K$113, 10, FALSE)</f>
        <v>0</v>
      </c>
      <c r="F16" s="13">
        <f>VLOOKUP(F14, RNA!$B$2:$K$113, 10, FALSE)</f>
        <v>1.786516853932584</v>
      </c>
      <c r="G16" s="13">
        <f>VLOOKUP(G14, RNA!$B$2:$K$113, 10, FALSE)</f>
        <v>4.2606679035250465</v>
      </c>
      <c r="H16" s="13">
        <f>VLOOKUP(H14, RNA!$B$2:$K$113, 10, FALSE)</f>
        <v>1.5882352941176467</v>
      </c>
      <c r="I16" s="13">
        <f>VLOOKUP(I14, RNA!$B$2:$K$113, 10, FALSE)</f>
        <v>0</v>
      </c>
    </row>
    <row r="17" spans="1:20" ht="13.5" thickBot="1" x14ac:dyDescent="0.25">
      <c r="L17" s="14">
        <v>4</v>
      </c>
      <c r="M17" s="15" t="s">
        <v>60</v>
      </c>
      <c r="N17" s="15" t="s">
        <v>62</v>
      </c>
      <c r="O17" s="15" t="s">
        <v>64</v>
      </c>
      <c r="P17" s="15" t="s">
        <v>66</v>
      </c>
      <c r="Q17" s="15" t="s">
        <v>68</v>
      </c>
      <c r="R17" s="15" t="s">
        <v>70</v>
      </c>
      <c r="S17" s="15" t="s">
        <v>72</v>
      </c>
      <c r="T17" s="16" t="s">
        <v>74</v>
      </c>
    </row>
    <row r="19" spans="1:20" ht="13.5" thickBot="1" x14ac:dyDescent="0.25"/>
    <row r="20" spans="1:20" ht="13.5" thickBot="1" x14ac:dyDescent="0.25">
      <c r="L20" s="14">
        <v>5</v>
      </c>
      <c r="M20" s="15" t="s">
        <v>76</v>
      </c>
      <c r="N20" s="15" t="s">
        <v>78</v>
      </c>
      <c r="O20" s="15" t="s">
        <v>80</v>
      </c>
      <c r="P20" s="15" t="s">
        <v>82</v>
      </c>
      <c r="Q20" s="15" t="s">
        <v>84</v>
      </c>
      <c r="R20" s="15" t="s">
        <v>86</v>
      </c>
      <c r="S20" s="15" t="s">
        <v>88</v>
      </c>
      <c r="T20" s="16" t="s">
        <v>90</v>
      </c>
    </row>
    <row r="21" spans="1:20" ht="16.5" thickBot="1" x14ac:dyDescent="0.25">
      <c r="B21" s="10">
        <v>1</v>
      </c>
      <c r="C21" s="11">
        <v>2</v>
      </c>
      <c r="D21" s="11">
        <v>3</v>
      </c>
      <c r="E21" s="11">
        <v>4</v>
      </c>
      <c r="F21" s="11">
        <v>5</v>
      </c>
      <c r="G21" s="11">
        <v>6</v>
      </c>
      <c r="H21" s="11">
        <v>7</v>
      </c>
      <c r="I21" s="11">
        <v>8</v>
      </c>
    </row>
    <row r="22" spans="1:20" ht="13.5" thickBot="1" x14ac:dyDescent="0.25">
      <c r="B22" t="s">
        <v>76</v>
      </c>
      <c r="C22" t="s">
        <v>78</v>
      </c>
      <c r="D22" t="s">
        <v>80</v>
      </c>
      <c r="E22" t="s">
        <v>82</v>
      </c>
      <c r="F22" t="s">
        <v>84</v>
      </c>
      <c r="G22" t="s">
        <v>86</v>
      </c>
      <c r="H22" t="s">
        <v>88</v>
      </c>
      <c r="I22" t="s">
        <v>90</v>
      </c>
      <c r="L22" s="14">
        <v>6</v>
      </c>
      <c r="M22" s="15" t="s">
        <v>92</v>
      </c>
      <c r="N22" s="15" t="s">
        <v>94</v>
      </c>
      <c r="O22" s="15" t="s">
        <v>96</v>
      </c>
      <c r="P22" s="15" t="s">
        <v>98</v>
      </c>
      <c r="Q22" s="15" t="s">
        <v>102</v>
      </c>
      <c r="R22" s="15" t="s">
        <v>104</v>
      </c>
      <c r="S22" s="15" t="s">
        <v>106</v>
      </c>
      <c r="T22" s="16" t="s">
        <v>108</v>
      </c>
    </row>
    <row r="23" spans="1:20" ht="13.5" thickBot="1" x14ac:dyDescent="0.25">
      <c r="A23">
        <v>5</v>
      </c>
      <c r="B23" s="13">
        <f>VLOOKUP(B22, RNA!$B$2:$K$113, 9, FALSE)</f>
        <v>1.826595226497808</v>
      </c>
      <c r="C23" s="13">
        <f>VLOOKUP(C22, RNA!$B$2:$K$113, 9, FALSE)</f>
        <v>3.5444234404536865</v>
      </c>
      <c r="D23" s="13">
        <f>VLOOKUP(D22, RNA!$B$2:$K$113, 9, FALSE)</f>
        <v>2.0314192849404118</v>
      </c>
      <c r="E23" s="13">
        <f>VLOOKUP(E22, RNA!$B$2:$K$113, 9, FALSE)</f>
        <v>2.0358306188925082</v>
      </c>
      <c r="F23" s="13">
        <f>VLOOKUP(F22, RNA!$B$2:$K$113, 9, FALSE)</f>
        <v>3.122398001665279</v>
      </c>
      <c r="G23" s="13">
        <f>VLOOKUP(G22, RNA!$B$2:$K$113, 9, FALSE)</f>
        <v>2.5184687709872398</v>
      </c>
      <c r="H23" s="13">
        <f>VLOOKUP(H22, RNA!$B$2:$K$113, 9, FALSE)</f>
        <v>3.3274179236912156</v>
      </c>
      <c r="I23" s="13">
        <f>VLOOKUP(I22, RNA!$B$2:$K$113, 9, FALSE)</f>
        <v>1.1870845204178537</v>
      </c>
    </row>
    <row r="24" spans="1:20" ht="13.5" thickBot="1" x14ac:dyDescent="0.25">
      <c r="B24" s="13">
        <f>VLOOKUP(B22, RNA!$B$2:$K$113, 10, FALSE)</f>
        <v>4.1734047735021917</v>
      </c>
      <c r="C24" s="13">
        <f>VLOOKUP(C22, RNA!$B$2:$K$113, 10, FALSE)</f>
        <v>2.4555765595463135</v>
      </c>
      <c r="D24" s="13">
        <f>VLOOKUP(D22, RNA!$B$2:$K$113, 10, FALSE)</f>
        <v>3.9685807150595882</v>
      </c>
      <c r="E24" s="13">
        <f>VLOOKUP(E22, RNA!$B$2:$K$113, 10, FALSE)</f>
        <v>3.9641693811074918</v>
      </c>
      <c r="F24" s="13">
        <f>VLOOKUP(F22, RNA!$B$2:$K$113, 10, FALSE)</f>
        <v>2.877601998334721</v>
      </c>
      <c r="G24" s="13">
        <f>VLOOKUP(G22, RNA!$B$2:$K$113, 10, FALSE)</f>
        <v>3.4815312290127602</v>
      </c>
      <c r="H24" s="13">
        <f>VLOOKUP(H22, RNA!$B$2:$K$113, 10, FALSE)</f>
        <v>2.6725820763087844</v>
      </c>
      <c r="I24" s="13">
        <f>VLOOKUP(I22, RNA!$B$2:$K$113, 10, FALSE)</f>
        <v>4.8129154795821467</v>
      </c>
      <c r="L24" s="14">
        <v>7</v>
      </c>
      <c r="M24" s="15" t="s">
        <v>110</v>
      </c>
      <c r="N24" s="15" t="s">
        <v>112</v>
      </c>
      <c r="O24" s="15" t="s">
        <v>114</v>
      </c>
      <c r="P24" s="15" t="s">
        <v>116</v>
      </c>
      <c r="Q24" s="15" t="s">
        <v>118</v>
      </c>
      <c r="R24" s="15" t="s">
        <v>120</v>
      </c>
      <c r="S24" s="15" t="s">
        <v>122</v>
      </c>
      <c r="T24" s="16" t="s">
        <v>124</v>
      </c>
    </row>
    <row r="25" spans="1:20" ht="13.5" thickBot="1" x14ac:dyDescent="0.25"/>
    <row r="26" spans="1:20" ht="13.5" thickBot="1" x14ac:dyDescent="0.25">
      <c r="B26" t="s">
        <v>92</v>
      </c>
      <c r="C26" t="s">
        <v>94</v>
      </c>
      <c r="D26" t="s">
        <v>96</v>
      </c>
      <c r="E26" t="s">
        <v>98</v>
      </c>
      <c r="F26" t="s">
        <v>102</v>
      </c>
      <c r="G26" t="s">
        <v>104</v>
      </c>
      <c r="H26" t="s">
        <v>106</v>
      </c>
      <c r="I26" t="s">
        <v>108</v>
      </c>
      <c r="L26" s="14">
        <v>8</v>
      </c>
      <c r="M26" s="15" t="s">
        <v>126</v>
      </c>
      <c r="N26" s="15" t="s">
        <v>128</v>
      </c>
      <c r="O26" s="15" t="s">
        <v>130</v>
      </c>
      <c r="P26" s="15" t="s">
        <v>132</v>
      </c>
      <c r="Q26" s="15" t="s">
        <v>134</v>
      </c>
      <c r="R26" s="15" t="s">
        <v>136</v>
      </c>
      <c r="S26" s="15" t="s">
        <v>138</v>
      </c>
      <c r="T26" s="16" t="s">
        <v>140</v>
      </c>
    </row>
    <row r="27" spans="1:20" x14ac:dyDescent="0.2">
      <c r="A27">
        <v>6</v>
      </c>
      <c r="B27" s="13">
        <f>VLOOKUP(B26, RNA!$B$2:$K$113, 9, FALSE)</f>
        <v>1.4345830145371079</v>
      </c>
      <c r="C27" s="13">
        <f>VLOOKUP(C26, RNA!$B$2:$K$113, 9, FALSE)</f>
        <v>1.8536826495304002</v>
      </c>
      <c r="D27" s="13">
        <f>VLOOKUP(D26, RNA!$B$2:$K$113, 9, FALSE)</f>
        <v>1.076503516578154</v>
      </c>
      <c r="E27" s="13">
        <f>VLOOKUP(E26, RNA!$B$2:$K$113, 9, FALSE)</f>
        <v>2.5201612903225805</v>
      </c>
      <c r="F27" s="13">
        <f>VLOOKUP(F26, RNA!$B$2:$K$113, 9, FALSE)</f>
        <v>6</v>
      </c>
      <c r="G27" s="13">
        <f>VLOOKUP(G26, RNA!$B$2:$K$113, 9, FALSE)</f>
        <v>1.9572025052192068</v>
      </c>
      <c r="H27" s="13">
        <f>VLOOKUP(H26, RNA!$B$2:$K$113, 9, FALSE)</f>
        <v>2.9047250193648337</v>
      </c>
      <c r="I27" s="13">
        <f>VLOOKUP(I26, RNA!$B$2:$K$113, 9, FALSE)</f>
        <v>2.8801843317972353</v>
      </c>
    </row>
    <row r="28" spans="1:20" ht="13.5" thickBot="1" x14ac:dyDescent="0.25">
      <c r="B28" s="13">
        <f>VLOOKUP(B26, RNA!$B$2:$K$113, 10, FALSE)</f>
        <v>4.5654169854628925</v>
      </c>
      <c r="C28" s="13">
        <f>VLOOKUP(C26, RNA!$B$2:$K$113, 10, FALSE)</f>
        <v>4.1463173504695998</v>
      </c>
      <c r="D28" s="13">
        <f>VLOOKUP(D26, RNA!$B$2:$K$113, 10, FALSE)</f>
        <v>4.9234964834218458</v>
      </c>
      <c r="E28" s="13">
        <f>VLOOKUP(E26, RNA!$B$2:$K$113, 10, FALSE)</f>
        <v>3.4798387096774195</v>
      </c>
      <c r="F28" s="13">
        <f>VLOOKUP(F26, RNA!$B$2:$K$113, 10, FALSE)</f>
        <v>0</v>
      </c>
      <c r="G28" s="13">
        <f>VLOOKUP(G26, RNA!$B$2:$K$113, 10, FALSE)</f>
        <v>4.0427974947807934</v>
      </c>
      <c r="H28" s="13">
        <f>VLOOKUP(H26, RNA!$B$2:$K$113, 10, FALSE)</f>
        <v>3.0952749806351663</v>
      </c>
      <c r="I28" s="13">
        <f>VLOOKUP(I26, RNA!$B$2:$K$113, 10, FALSE)</f>
        <v>3.1198156682027647</v>
      </c>
    </row>
    <row r="29" spans="1:20" ht="13.5" thickBot="1" x14ac:dyDescent="0.25">
      <c r="L29" s="14">
        <v>9</v>
      </c>
      <c r="M29" s="15" t="s">
        <v>142</v>
      </c>
      <c r="N29" s="15" t="s">
        <v>144</v>
      </c>
      <c r="O29" s="15" t="s">
        <v>146</v>
      </c>
      <c r="P29" s="15" t="s">
        <v>148</v>
      </c>
      <c r="Q29" s="15" t="s">
        <v>150</v>
      </c>
      <c r="R29" s="15" t="s">
        <v>152</v>
      </c>
      <c r="S29" s="15" t="s">
        <v>154</v>
      </c>
      <c r="T29" s="16" t="s">
        <v>156</v>
      </c>
    </row>
    <row r="30" spans="1:20" ht="13.5" thickBot="1" x14ac:dyDescent="0.25">
      <c r="B30" t="s">
        <v>110</v>
      </c>
      <c r="C30" t="s">
        <v>112</v>
      </c>
      <c r="D30" t="s">
        <v>114</v>
      </c>
      <c r="E30" t="s">
        <v>116</v>
      </c>
      <c r="F30" t="s">
        <v>118</v>
      </c>
      <c r="G30" t="s">
        <v>120</v>
      </c>
      <c r="H30" t="s">
        <v>122</v>
      </c>
      <c r="I30" t="s">
        <v>124</v>
      </c>
    </row>
    <row r="31" spans="1:20" ht="13.5" thickBot="1" x14ac:dyDescent="0.25">
      <c r="A31">
        <v>7</v>
      </c>
      <c r="B31" s="13">
        <f>VLOOKUP(B30, RNA!$B$2:$K$113, 9, FALSE)</f>
        <v>2.2754854368932036</v>
      </c>
      <c r="C31" s="13">
        <f>VLOOKUP(C30, RNA!$B$2:$K$113, 9, FALSE)</f>
        <v>2.1846781240897175</v>
      </c>
      <c r="D31" s="13">
        <f>VLOOKUP(D30, RNA!$B$2:$K$113, 9, FALSE)</f>
        <v>1.5849535080304311</v>
      </c>
      <c r="E31" s="13">
        <f>VLOOKUP(E30, RNA!$B$2:$K$113, 9, FALSE)</f>
        <v>1.3371367445177393</v>
      </c>
      <c r="F31" s="13">
        <f>VLOOKUP(F30, RNA!$B$2:$K$113, 9, FALSE)</f>
        <v>3.5377358490566038</v>
      </c>
      <c r="G31" s="13">
        <f>VLOOKUP(G30, RNA!$B$2:$K$113, 9, FALSE)</f>
        <v>1.9001773498859895</v>
      </c>
      <c r="H31" s="13">
        <f>VLOOKUP(H30, RNA!$B$2:$K$113, 9, FALSE)</f>
        <v>3.8779731127197516</v>
      </c>
      <c r="I31" s="13">
        <f>VLOOKUP(I30, RNA!$B$2:$K$113, 9, FALSE)</f>
        <v>3.0649775234981611</v>
      </c>
      <c r="L31" s="14">
        <v>10</v>
      </c>
      <c r="M31" s="15" t="s">
        <v>158</v>
      </c>
      <c r="N31" s="15" t="s">
        <v>160</v>
      </c>
      <c r="O31" s="15" t="s">
        <v>162</v>
      </c>
      <c r="P31" s="15" t="s">
        <v>164</v>
      </c>
      <c r="Q31" s="15" t="s">
        <v>166</v>
      </c>
      <c r="R31" s="15" t="s">
        <v>168</v>
      </c>
      <c r="S31" s="15" t="s">
        <v>170</v>
      </c>
      <c r="T31" s="16" t="s">
        <v>172</v>
      </c>
    </row>
    <row r="32" spans="1:20" ht="13.5" thickBot="1" x14ac:dyDescent="0.25">
      <c r="B32" s="13">
        <f>VLOOKUP(B30, RNA!$B$2:$K$113, 10, FALSE)</f>
        <v>3.7245145631067964</v>
      </c>
      <c r="C32" s="13">
        <f>VLOOKUP(C30, RNA!$B$2:$K$113, 10, FALSE)</f>
        <v>3.8153218759102825</v>
      </c>
      <c r="D32" s="13">
        <f>VLOOKUP(D30, RNA!$B$2:$K$113, 10, FALSE)</f>
        <v>4.4150464919695693</v>
      </c>
      <c r="E32" s="13">
        <f>VLOOKUP(E30, RNA!$B$2:$K$113, 10, FALSE)</f>
        <v>4.6628632554822609</v>
      </c>
      <c r="F32" s="13">
        <f>VLOOKUP(F30, RNA!$B$2:$K$113, 10, FALSE)</f>
        <v>2.4622641509433962</v>
      </c>
      <c r="G32" s="13">
        <f>VLOOKUP(G30, RNA!$B$2:$K$113, 10, FALSE)</f>
        <v>4.0998226501140103</v>
      </c>
      <c r="H32" s="13">
        <f>VLOOKUP(H30, RNA!$B$2:$K$113, 10, FALSE)</f>
        <v>2.1220268872802484</v>
      </c>
      <c r="I32" s="13">
        <f>VLOOKUP(I30, RNA!$B$2:$K$113, 10, FALSE)</f>
        <v>2.9350224765018389</v>
      </c>
    </row>
    <row r="33" spans="1:20" ht="13.5" thickBot="1" x14ac:dyDescent="0.25">
      <c r="L33" s="14">
        <v>11</v>
      </c>
      <c r="M33" s="15" t="s">
        <v>174</v>
      </c>
      <c r="N33" s="15" t="s">
        <v>176</v>
      </c>
      <c r="O33" s="15" t="s">
        <v>178</v>
      </c>
      <c r="P33" s="15" t="s">
        <v>180</v>
      </c>
      <c r="Q33" s="15" t="s">
        <v>182</v>
      </c>
      <c r="R33" s="15" t="s">
        <v>184</v>
      </c>
      <c r="S33" s="15" t="s">
        <v>186</v>
      </c>
      <c r="T33" s="16" t="s">
        <v>188</v>
      </c>
    </row>
    <row r="34" spans="1:20" ht="13.5" thickBot="1" x14ac:dyDescent="0.25">
      <c r="B34" t="s">
        <v>126</v>
      </c>
      <c r="C34" t="s">
        <v>128</v>
      </c>
      <c r="D34" t="s">
        <v>130</v>
      </c>
      <c r="E34" t="s">
        <v>132</v>
      </c>
      <c r="F34" t="s">
        <v>134</v>
      </c>
      <c r="G34" t="s">
        <v>136</v>
      </c>
      <c r="H34" t="s">
        <v>138</v>
      </c>
      <c r="I34" t="s">
        <v>140</v>
      </c>
    </row>
    <row r="35" spans="1:20" ht="13.5" thickBot="1" x14ac:dyDescent="0.25">
      <c r="A35">
        <v>8</v>
      </c>
      <c r="B35" s="13">
        <f>VLOOKUP(B34, RNA!$B$2:$K$113, 9, FALSE)</f>
        <v>2.4509803921568629</v>
      </c>
      <c r="C35" s="13">
        <f>VLOOKUP(C34, RNA!$B$2:$K$113, 9, FALSE)</f>
        <v>1.4253135689851766</v>
      </c>
      <c r="D35" s="13">
        <f>VLOOKUP(D34, RNA!$B$2:$K$113, 9, FALSE)</f>
        <v>2.4606299212598426</v>
      </c>
      <c r="E35" s="13">
        <f>VLOOKUP(E34, RNA!$B$2:$K$113, 9, FALSE)</f>
        <v>1.463129145532579</v>
      </c>
      <c r="F35" s="13">
        <f>VLOOKUP(F34, RNA!$B$2:$K$113, 9, FALSE)</f>
        <v>3.0525030525030528</v>
      </c>
      <c r="G35" s="13">
        <f>VLOOKUP(G34, RNA!$B$2:$K$113, 9, FALSE)</f>
        <v>2.9773719730051607</v>
      </c>
      <c r="H35" s="13">
        <f>VLOOKUP(H34, RNA!$B$2:$K$113, 9, FALSE)</f>
        <v>3.2894736842105261</v>
      </c>
      <c r="I35" s="13">
        <f>VLOOKUP(I34, RNA!$B$2:$K$113, 9, FALSE)</f>
        <v>5.1020408163265305</v>
      </c>
      <c r="L35" s="14">
        <v>12</v>
      </c>
      <c r="M35" s="15" t="s">
        <v>190</v>
      </c>
      <c r="N35" s="15" t="s">
        <v>192</v>
      </c>
      <c r="O35" s="15" t="s">
        <v>194</v>
      </c>
      <c r="P35" s="15" t="s">
        <v>196</v>
      </c>
      <c r="Q35" s="15" t="s">
        <v>198</v>
      </c>
      <c r="R35" s="15" t="s">
        <v>198</v>
      </c>
      <c r="S35" s="15" t="s">
        <v>201</v>
      </c>
      <c r="T35" s="16" t="s">
        <v>203</v>
      </c>
    </row>
    <row r="36" spans="1:20" x14ac:dyDescent="0.2">
      <c r="B36" s="13">
        <f>VLOOKUP(B34, RNA!$B$2:$K$113, 10, FALSE)</f>
        <v>3.5490196078431371</v>
      </c>
      <c r="C36" s="13">
        <f>VLOOKUP(C34, RNA!$B$2:$K$113, 10, FALSE)</f>
        <v>4.5746864310148236</v>
      </c>
      <c r="D36" s="13">
        <f>VLOOKUP(D34, RNA!$B$2:$K$113, 10, FALSE)</f>
        <v>3.5393700787401574</v>
      </c>
      <c r="E36" s="13">
        <f>VLOOKUP(E34, RNA!$B$2:$K$113, 10, FALSE)</f>
        <v>4.5368708544674208</v>
      </c>
      <c r="F36" s="13">
        <f>VLOOKUP(F34, RNA!$B$2:$K$113, 10, FALSE)</f>
        <v>2.9474969474969472</v>
      </c>
      <c r="G36" s="13">
        <f>VLOOKUP(G34, RNA!$B$2:$K$113, 10, FALSE)</f>
        <v>3.0226280269948393</v>
      </c>
      <c r="H36" s="13">
        <f>VLOOKUP(H34, RNA!$B$2:$K$113, 10, FALSE)</f>
        <v>2.7105263157894739</v>
      </c>
      <c r="I36" s="13">
        <f>VLOOKUP(I34, RNA!$B$2:$K$113, 10, FALSE)</f>
        <v>0.8979591836734695</v>
      </c>
    </row>
    <row r="37" spans="1:20" ht="13.5" thickBot="1" x14ac:dyDescent="0.25"/>
    <row r="38" spans="1:20" ht="13.5" thickBot="1" x14ac:dyDescent="0.25">
      <c r="L38" s="14">
        <v>13</v>
      </c>
      <c r="M38" s="15" t="s">
        <v>205</v>
      </c>
      <c r="N38" s="15" t="s">
        <v>207</v>
      </c>
      <c r="O38" s="15" t="s">
        <v>209</v>
      </c>
      <c r="P38" s="15" t="s">
        <v>211</v>
      </c>
      <c r="Q38" s="15" t="s">
        <v>213</v>
      </c>
      <c r="R38" s="15" t="s">
        <v>215</v>
      </c>
      <c r="S38" s="15" t="s">
        <v>217</v>
      </c>
      <c r="T38" s="16" t="s">
        <v>219</v>
      </c>
    </row>
    <row r="39" spans="1:20" ht="13.5" thickBot="1" x14ac:dyDescent="0.25"/>
    <row r="40" spans="1:20" ht="16.5" thickBot="1" x14ac:dyDescent="0.25">
      <c r="B40" s="10">
        <v>1</v>
      </c>
      <c r="C40" s="11">
        <v>2</v>
      </c>
      <c r="D40" s="11">
        <v>3</v>
      </c>
      <c r="E40" s="11">
        <v>4</v>
      </c>
      <c r="F40" s="11">
        <v>5</v>
      </c>
      <c r="G40" s="11">
        <v>6</v>
      </c>
      <c r="H40" s="11">
        <v>7</v>
      </c>
      <c r="I40" s="11">
        <v>8</v>
      </c>
      <c r="L40" s="14">
        <v>14</v>
      </c>
      <c r="M40" s="15" t="s">
        <v>221</v>
      </c>
      <c r="N40" s="15" t="s">
        <v>223</v>
      </c>
      <c r="O40" s="15" t="s">
        <v>225</v>
      </c>
      <c r="P40" s="15" t="s">
        <v>227</v>
      </c>
      <c r="Q40" s="15" t="s">
        <v>229</v>
      </c>
      <c r="R40" s="15" t="s">
        <v>231</v>
      </c>
      <c r="S40" s="15" t="s">
        <v>233</v>
      </c>
      <c r="T40" s="16" t="s">
        <v>240</v>
      </c>
    </row>
    <row r="41" spans="1:20" x14ac:dyDescent="0.2">
      <c r="B41" t="s">
        <v>142</v>
      </c>
      <c r="C41" t="s">
        <v>144</v>
      </c>
      <c r="D41" t="s">
        <v>146</v>
      </c>
      <c r="E41" t="s">
        <v>148</v>
      </c>
      <c r="F41" t="s">
        <v>150</v>
      </c>
      <c r="G41" t="s">
        <v>152</v>
      </c>
      <c r="H41" t="s">
        <v>154</v>
      </c>
      <c r="I41" t="s">
        <v>156</v>
      </c>
    </row>
    <row r="42" spans="1:20" x14ac:dyDescent="0.2">
      <c r="A42">
        <v>9</v>
      </c>
      <c r="B42" s="13">
        <f>VLOOKUP(B41, RNA!$B$2:$K$113, 9, FALSE)</f>
        <v>4.658385093167702</v>
      </c>
      <c r="C42" s="13">
        <f>VLOOKUP(C41, RNA!$B$2:$K$113, 9, FALSE)</f>
        <v>2.4941802460924509</v>
      </c>
      <c r="D42" s="13">
        <f>VLOOKUP(D41, RNA!$B$2:$K$113, 9, FALSE)</f>
        <v>1.220901839492105</v>
      </c>
      <c r="E42" s="13">
        <f>VLOOKUP(E41, RNA!$B$2:$K$113, 9, FALSE)</f>
        <v>2.2308149910767403</v>
      </c>
      <c r="F42" s="13">
        <f>VLOOKUP(F41, RNA!$B$2:$K$113, 9, FALSE)</f>
        <v>5.4704595185995624</v>
      </c>
      <c r="G42" s="13">
        <f>VLOOKUP(G41, RNA!$B$2:$K$113, 9, FALSE)</f>
        <v>6</v>
      </c>
      <c r="H42" s="13">
        <f>VLOOKUP(H41, RNA!$B$2:$K$113, 9, FALSE)</f>
        <v>3.5528185693983896</v>
      </c>
      <c r="I42" s="13">
        <f>VLOOKUP(I41, RNA!$B$2:$K$113, 9, FALSE)</f>
        <v>6</v>
      </c>
    </row>
    <row r="43" spans="1:20" x14ac:dyDescent="0.2">
      <c r="B43" s="13">
        <f>VLOOKUP(B41, RNA!$B$2:$K$113, 10, FALSE)</f>
        <v>1.341614906832298</v>
      </c>
      <c r="C43" s="13">
        <f>VLOOKUP(C41, RNA!$B$2:$K$113, 10, FALSE)</f>
        <v>3.5058197539075491</v>
      </c>
      <c r="D43" s="13">
        <f>VLOOKUP(D41, RNA!$B$2:$K$113, 10, FALSE)</f>
        <v>4.7790981605078953</v>
      </c>
      <c r="E43" s="13">
        <f>VLOOKUP(E41, RNA!$B$2:$K$113, 10, FALSE)</f>
        <v>3.7691850089232597</v>
      </c>
      <c r="F43" s="13">
        <f>VLOOKUP(F41, RNA!$B$2:$K$113, 10, FALSE)</f>
        <v>0.52954048140043763</v>
      </c>
      <c r="G43" s="13">
        <f>VLOOKUP(G41, RNA!$B$2:$K$113, 10, FALSE)</f>
        <v>0</v>
      </c>
      <c r="H43" s="13">
        <f>VLOOKUP(H41, RNA!$B$2:$K$113, 10, FALSE)</f>
        <v>2.4471814306016104</v>
      </c>
      <c r="I43" s="13">
        <f>VLOOKUP(I41, RNA!$B$2:$K$113, 10, FALSE)</f>
        <v>0</v>
      </c>
    </row>
    <row r="45" spans="1:20" x14ac:dyDescent="0.2">
      <c r="B45" t="s">
        <v>158</v>
      </c>
      <c r="C45" t="s">
        <v>160</v>
      </c>
      <c r="D45" t="s">
        <v>162</v>
      </c>
      <c r="E45" t="s">
        <v>164</v>
      </c>
      <c r="F45" t="s">
        <v>166</v>
      </c>
      <c r="G45" t="s">
        <v>168</v>
      </c>
      <c r="H45" t="s">
        <v>170</v>
      </c>
      <c r="I45" t="s">
        <v>172</v>
      </c>
    </row>
    <row r="46" spans="1:20" x14ac:dyDescent="0.2">
      <c r="A46">
        <v>10</v>
      </c>
      <c r="B46" s="13">
        <f>VLOOKUP(B45, RNA!$B$2:$K$113, 9, FALSE)</f>
        <v>4.6468401486988844</v>
      </c>
      <c r="C46" s="13">
        <f>VLOOKUP(C45, RNA!$B$2:$K$113, 9, FALSE)</f>
        <v>5.7339449541284395</v>
      </c>
      <c r="D46" s="13">
        <f>VLOOKUP(D45, RNA!$B$2:$K$113, 9, FALSE)</f>
        <v>5.6137724550898209</v>
      </c>
      <c r="E46" s="13">
        <f>VLOOKUP(E45, RNA!$B$2:$K$113, 9, FALSE)</f>
        <v>2.3719165085388996</v>
      </c>
      <c r="F46" s="13">
        <f>VLOOKUP(F45, RNA!$B$2:$K$113, 9, FALSE)</f>
        <v>1.3029881862404447</v>
      </c>
      <c r="G46" s="13">
        <f>VLOOKUP(G45, RNA!$B$2:$K$113, 9, FALSE)</f>
        <v>1.8536826495304002</v>
      </c>
      <c r="H46" s="13">
        <f>VLOOKUP(H45, RNA!$B$2:$K$113, 9, FALSE)</f>
        <v>1.9925611052072265</v>
      </c>
      <c r="I46" s="13">
        <f>VLOOKUP(I45, RNA!$B$2:$K$113, 9, FALSE)</f>
        <v>1.2755102040816326</v>
      </c>
    </row>
    <row r="47" spans="1:20" x14ac:dyDescent="0.2">
      <c r="B47" s="13">
        <f>VLOOKUP(B45, RNA!$B$2:$K$113, 10, FALSE)</f>
        <v>1.3531598513011156</v>
      </c>
      <c r="C47" s="13">
        <f>VLOOKUP(C45, RNA!$B$2:$K$113, 10, FALSE)</f>
        <v>0.26605504587156048</v>
      </c>
      <c r="D47" s="13">
        <f>VLOOKUP(D45, RNA!$B$2:$K$113, 10, FALSE)</f>
        <v>0.38622754491017908</v>
      </c>
      <c r="E47" s="13">
        <f>VLOOKUP(E45, RNA!$B$2:$K$113, 10, FALSE)</f>
        <v>3.6280834914611004</v>
      </c>
      <c r="F47" s="13">
        <f>VLOOKUP(F45, RNA!$B$2:$K$113, 10, FALSE)</f>
        <v>4.6970118137595556</v>
      </c>
      <c r="G47" s="13">
        <f>VLOOKUP(G45, RNA!$B$2:$K$113, 10, FALSE)</f>
        <v>4.1463173504695998</v>
      </c>
      <c r="H47" s="13">
        <f>VLOOKUP(H45, RNA!$B$2:$K$113, 10, FALSE)</f>
        <v>4.0074388947927737</v>
      </c>
      <c r="I47" s="13">
        <f>VLOOKUP(I45, RNA!$B$2:$K$113, 10, FALSE)</f>
        <v>4.7244897959183678</v>
      </c>
    </row>
    <row r="49" spans="1:9" x14ac:dyDescent="0.2">
      <c r="B49" t="s">
        <v>174</v>
      </c>
      <c r="C49" t="s">
        <v>176</v>
      </c>
      <c r="D49" t="s">
        <v>178</v>
      </c>
      <c r="E49" t="s">
        <v>180</v>
      </c>
      <c r="F49" t="s">
        <v>182</v>
      </c>
      <c r="G49" t="s">
        <v>184</v>
      </c>
      <c r="H49" t="s">
        <v>186</v>
      </c>
      <c r="I49" t="s">
        <v>188</v>
      </c>
    </row>
    <row r="50" spans="1:9" x14ac:dyDescent="0.2">
      <c r="A50">
        <v>11</v>
      </c>
      <c r="B50" s="13">
        <f>VLOOKUP(B49, RNA!$B$2:$K$113, 9, FALSE)</f>
        <v>1.0893246187363834</v>
      </c>
      <c r="C50" s="13">
        <f>VLOOKUP(C49, RNA!$B$2:$K$113, 9, FALSE)</f>
        <v>1.1716919231370098</v>
      </c>
      <c r="D50" s="13">
        <f>VLOOKUP(D49, RNA!$B$2:$K$113, 9, FALSE)</f>
        <v>2.3371766905578064</v>
      </c>
      <c r="E50" s="13">
        <f>VLOOKUP(E49, RNA!$B$2:$K$113, 9, FALSE)</f>
        <v>3.9598732840549102</v>
      </c>
      <c r="F50" s="13">
        <f>VLOOKUP(F49, RNA!$B$2:$K$113, 9, FALSE)</f>
        <v>1.1078286558345642</v>
      </c>
      <c r="G50" s="13">
        <f>VLOOKUP(G49, RNA!$B$2:$K$113, 9, FALSE)</f>
        <v>1.2135922330097086</v>
      </c>
      <c r="H50" s="13">
        <f>VLOOKUP(H49, RNA!$B$2:$K$113, 9, FALSE)</f>
        <v>1.4501160092807424</v>
      </c>
      <c r="I50" s="13">
        <f>VLOOKUP(I49, RNA!$B$2:$K$113, 9, FALSE)</f>
        <v>1.9716088328075712</v>
      </c>
    </row>
    <row r="51" spans="1:9" x14ac:dyDescent="0.2">
      <c r="B51" s="13">
        <f>VLOOKUP(B49, RNA!$B$2:$K$113, 10, FALSE)</f>
        <v>4.9106753812636166</v>
      </c>
      <c r="C51" s="13">
        <f>VLOOKUP(C49, RNA!$B$2:$K$113, 10, FALSE)</f>
        <v>4.8283080768629905</v>
      </c>
      <c r="D51" s="13">
        <f>VLOOKUP(D49, RNA!$B$2:$K$113, 10, FALSE)</f>
        <v>3.6628233094421936</v>
      </c>
      <c r="E51" s="13">
        <f>VLOOKUP(E49, RNA!$B$2:$K$113, 10, FALSE)</f>
        <v>2.0401267159450898</v>
      </c>
      <c r="F51" s="13">
        <f>VLOOKUP(F49, RNA!$B$2:$K$113, 10, FALSE)</f>
        <v>4.892171344165436</v>
      </c>
      <c r="G51" s="13">
        <f>VLOOKUP(G49, RNA!$B$2:$K$113, 10, FALSE)</f>
        <v>4.7864077669902914</v>
      </c>
      <c r="H51" s="13">
        <f>VLOOKUP(H49, RNA!$B$2:$K$113, 10, FALSE)</f>
        <v>4.5498839907192572</v>
      </c>
      <c r="I51" s="13">
        <f>VLOOKUP(I49, RNA!$B$2:$K$113, 10, FALSE)</f>
        <v>4.0283911671924288</v>
      </c>
    </row>
    <row r="53" spans="1:9" x14ac:dyDescent="0.2">
      <c r="B53" t="s">
        <v>190</v>
      </c>
      <c r="C53" t="s">
        <v>192</v>
      </c>
      <c r="D53" t="s">
        <v>194</v>
      </c>
      <c r="E53" t="s">
        <v>196</v>
      </c>
      <c r="F53" t="s">
        <v>198</v>
      </c>
      <c r="G53" t="s">
        <v>198</v>
      </c>
      <c r="H53" t="s">
        <v>201</v>
      </c>
      <c r="I53" t="s">
        <v>203</v>
      </c>
    </row>
    <row r="54" spans="1:9" x14ac:dyDescent="0.2">
      <c r="A54">
        <v>12</v>
      </c>
      <c r="B54" s="13">
        <f>VLOOKUP(B53, RNA!$B$2:$K$113, 9, FALSE)</f>
        <v>4.1946308724832209</v>
      </c>
      <c r="C54" s="13">
        <f>VLOOKUP(C53, RNA!$B$2:$K$113, 9, FALSE)</f>
        <v>2.9171528588098012</v>
      </c>
      <c r="D54" s="13">
        <f>VLOOKUP(D53, RNA!$B$2:$K$113, 9, FALSE)</f>
        <v>2.3234200743494422</v>
      </c>
      <c r="E54" s="13">
        <f>VLOOKUP(E53, RNA!$B$2:$K$113, 9, FALSE)</f>
        <v>1.7265193370165748</v>
      </c>
      <c r="F54" s="13">
        <f>VLOOKUP(F53, RNA!$B$2:$K$113, 9, FALSE)</f>
        <v>2.2255192878338277</v>
      </c>
      <c r="G54" s="13">
        <f>VLOOKUP(G53, RNA!$B$2:$K$113, 9, FALSE)</f>
        <v>2.2255192878338277</v>
      </c>
      <c r="H54" s="13">
        <f>VLOOKUP(H53, RNA!$B$2:$K$113, 9, FALSE)</f>
        <v>0.96974398758727698</v>
      </c>
      <c r="I54" s="13">
        <f>VLOOKUP(I53, RNA!$B$2:$K$113, 9, FALSE)</f>
        <v>3.293807641633729</v>
      </c>
    </row>
    <row r="55" spans="1:9" x14ac:dyDescent="0.2">
      <c r="B55" s="13">
        <f>VLOOKUP(B53, RNA!$B$2:$K$113, 10, FALSE)</f>
        <v>1.8053691275167791</v>
      </c>
      <c r="C55" s="13">
        <f>VLOOKUP(C53, RNA!$B$2:$K$113, 10, FALSE)</f>
        <v>3.0828471411901988</v>
      </c>
      <c r="D55" s="13">
        <f>VLOOKUP(D53, RNA!$B$2:$K$113, 10, FALSE)</f>
        <v>3.6765799256505578</v>
      </c>
      <c r="E55" s="13">
        <f>VLOOKUP(E53, RNA!$B$2:$K$113, 10, FALSE)</f>
        <v>4.2734806629834257</v>
      </c>
      <c r="F55" s="13">
        <f>VLOOKUP(F53, RNA!$B$2:$K$113, 10, FALSE)</f>
        <v>3.7744807121661723</v>
      </c>
      <c r="G55" s="13">
        <f>VLOOKUP(G53, RNA!$B$2:$K$113, 10, FALSE)</f>
        <v>3.7744807121661723</v>
      </c>
      <c r="H55" s="13">
        <f>VLOOKUP(H53, RNA!$B$2:$K$113, 10, FALSE)</f>
        <v>5.0302560124127229</v>
      </c>
      <c r="I55" s="13">
        <f>VLOOKUP(I53, RNA!$B$2:$K$113, 10, FALSE)</f>
        <v>2.706192358366271</v>
      </c>
    </row>
    <row r="58" spans="1:9" ht="13.5" thickBot="1" x14ac:dyDescent="0.25"/>
    <row r="59" spans="1:9" ht="16.5" thickBot="1" x14ac:dyDescent="0.25">
      <c r="B59" s="10">
        <v>1</v>
      </c>
      <c r="C59" s="11">
        <v>2</v>
      </c>
      <c r="D59" s="11">
        <v>3</v>
      </c>
      <c r="E59" s="11">
        <v>4</v>
      </c>
      <c r="F59" s="11">
        <v>5</v>
      </c>
      <c r="G59" s="11">
        <v>6</v>
      </c>
      <c r="H59" s="11">
        <v>7</v>
      </c>
      <c r="I59" s="11">
        <v>8</v>
      </c>
    </row>
    <row r="60" spans="1:9" x14ac:dyDescent="0.2">
      <c r="B60" s="13" t="s">
        <v>205</v>
      </c>
      <c r="C60" t="s">
        <v>207</v>
      </c>
      <c r="D60" t="s">
        <v>209</v>
      </c>
      <c r="E60" t="s">
        <v>211</v>
      </c>
      <c r="F60" t="s">
        <v>213</v>
      </c>
      <c r="G60" t="s">
        <v>215</v>
      </c>
      <c r="H60" t="s">
        <v>217</v>
      </c>
      <c r="I60" t="s">
        <v>219</v>
      </c>
    </row>
    <row r="61" spans="1:9" x14ac:dyDescent="0.2">
      <c r="A61">
        <v>13</v>
      </c>
      <c r="B61" s="13">
        <f>VLOOKUP(B60, RNA!$B$2:$K$113, 9, FALSE)</f>
        <v>2.3055640946818321</v>
      </c>
      <c r="C61" s="13">
        <f>VLOOKUP(C60, RNA!$B$2:$K$113, 9, FALSE)</f>
        <v>2.1398002853067046</v>
      </c>
      <c r="D61" s="13">
        <f>VLOOKUP(D60, RNA!$B$2:$K$113, 9, FALSE)</f>
        <v>6</v>
      </c>
      <c r="E61" s="13">
        <f>VLOOKUP(E60, RNA!$B$2:$K$113, 9, FALSE)</f>
        <v>6</v>
      </c>
      <c r="F61" s="13">
        <f>VLOOKUP(F60, RNA!$B$2:$K$113, 9, FALSE)</f>
        <v>0.66160903316866626</v>
      </c>
      <c r="G61" s="13">
        <f>VLOOKUP(G60, RNA!$B$2:$K$113, 9, FALSE)</f>
        <v>2.6187150837988828</v>
      </c>
      <c r="H61" s="13">
        <f>VLOOKUP(H60, RNA!$B$2:$K$113, 9, FALSE)</f>
        <v>2.4541884816753923</v>
      </c>
      <c r="I61" s="13">
        <f>VLOOKUP(I60, RNA!$B$2:$K$113, 9, FALSE)</f>
        <v>1.3723696248856359</v>
      </c>
    </row>
    <row r="62" spans="1:9" x14ac:dyDescent="0.2">
      <c r="B62" s="13">
        <f>VLOOKUP(B60, RNA!$B$2:$K$113, 10, FALSE)</f>
        <v>3.6944359053181679</v>
      </c>
      <c r="C62" s="13">
        <f>VLOOKUP(C60, RNA!$B$2:$K$113, 10, FALSE)</f>
        <v>3.8601997146932954</v>
      </c>
      <c r="D62" s="13">
        <f>VLOOKUP(D60, RNA!$B$2:$K$113, 10, FALSE)</f>
        <v>0</v>
      </c>
      <c r="E62" s="13">
        <f>VLOOKUP(E60, RNA!$B$2:$K$113, 10, FALSE)</f>
        <v>0</v>
      </c>
      <c r="F62" s="13">
        <f>VLOOKUP(F60, RNA!$B$2:$K$113, 10, FALSE)</f>
        <v>5.3383909668313336</v>
      </c>
      <c r="G62" s="13">
        <f>VLOOKUP(G60, RNA!$B$2:$K$113, 10, FALSE)</f>
        <v>3.3812849162011172</v>
      </c>
      <c r="H62" s="13">
        <f>VLOOKUP(H60, RNA!$B$2:$K$113, 10, FALSE)</f>
        <v>3.5458115183246077</v>
      </c>
      <c r="I62" s="13">
        <f>VLOOKUP(I60, RNA!$B$2:$K$113, 10, FALSE)</f>
        <v>4.6276303751143644</v>
      </c>
    </row>
    <row r="64" spans="1:9" x14ac:dyDescent="0.2">
      <c r="B64" t="s">
        <v>221</v>
      </c>
      <c r="C64" t="s">
        <v>223</v>
      </c>
      <c r="D64" t="s">
        <v>225</v>
      </c>
      <c r="E64" t="s">
        <v>227</v>
      </c>
      <c r="F64" t="s">
        <v>229</v>
      </c>
      <c r="G64" t="s">
        <v>231</v>
      </c>
      <c r="H64" t="s">
        <v>233</v>
      </c>
      <c r="I64" t="s">
        <v>240</v>
      </c>
    </row>
    <row r="65" spans="1:9" x14ac:dyDescent="0.2">
      <c r="A65">
        <v>14</v>
      </c>
      <c r="B65" s="13">
        <f>VLOOKUP(B64, RNA!$B$2:$K$113, 9, FALSE)</f>
        <v>1.1899095668729178</v>
      </c>
      <c r="C65" s="13">
        <f>VLOOKUP(C64, RNA!$B$2:$K$113, 9, FALSE)</f>
        <v>0.63624024431625381</v>
      </c>
      <c r="D65" s="13">
        <f>VLOOKUP(D64, RNA!$B$2:$K$113, 9, FALSE)</f>
        <v>1.3274336283185841</v>
      </c>
      <c r="E65" s="13">
        <f>VLOOKUP(E64, RNA!$B$2:$K$113, 9, FALSE)</f>
        <v>3.20786997433704</v>
      </c>
      <c r="F65" s="13">
        <f>VLOOKUP(F64, RNA!$B$2:$K$113, 9, FALSE)</f>
        <v>2.5790921595598348</v>
      </c>
      <c r="G65" s="13">
        <f>VLOOKUP(G64, RNA!$B$2:$K$113, 9, FALSE)</f>
        <v>3.0388978930307942</v>
      </c>
      <c r="H65" s="13">
        <f>VLOOKUP(H64, RNA!$B$2:$K$113, 9, FALSE)</f>
        <v>1.0436960757027554</v>
      </c>
      <c r="I65" s="13">
        <f>VLOOKUP(I64, RNA!$B$2:$K$114, 9, FALSE)</f>
        <v>1.5984654731457801</v>
      </c>
    </row>
    <row r="66" spans="1:9" x14ac:dyDescent="0.2">
      <c r="B66" s="13">
        <f>VLOOKUP(B64, RNA!$B$2:$K$113, 10, FALSE)</f>
        <v>4.8100904331270824</v>
      </c>
      <c r="C66" s="13">
        <f>VLOOKUP(C64, RNA!$B$2:$K$113, 10, FALSE)</f>
        <v>5.3637597556837466</v>
      </c>
      <c r="D66" s="13">
        <f>VLOOKUP(D64, RNA!$B$2:$K$113, 10, FALSE)</f>
        <v>4.6725663716814161</v>
      </c>
      <c r="E66" s="13">
        <f>VLOOKUP(E64, RNA!$B$2:$K$113, 10, FALSE)</f>
        <v>2.79213002566296</v>
      </c>
      <c r="F66" s="13">
        <f>VLOOKUP(F64, RNA!$B$2:$K$113, 10, FALSE)</f>
        <v>3.4209078404401652</v>
      </c>
      <c r="G66" s="13">
        <f>VLOOKUP(G64, RNA!$B$2:$K$113, 10, FALSE)</f>
        <v>2.9611021069692058</v>
      </c>
      <c r="H66" s="13">
        <f>VLOOKUP(H64, RNA!$B$2:$K$113, 10, FALSE)</f>
        <v>4.9563039242972451</v>
      </c>
      <c r="I66" s="13">
        <f>VLOOKUP(I64, RNA!$B$2:$K$114, 10, FALSE)</f>
        <v>4.4015345268542196</v>
      </c>
    </row>
  </sheetData>
  <conditionalFormatting sqref="L11:L40">
    <cfRule type="containsText" dxfId="23" priority="20" operator="containsText" text="D_3">
      <formula>NOT(ISERROR(SEARCH("D_3",L11)))</formula>
    </cfRule>
    <cfRule type="containsText" dxfId="22" priority="21" operator="containsText" text="C_3">
      <formula>NOT(ISERROR(SEARCH("C_3",L11)))</formula>
    </cfRule>
    <cfRule type="containsText" dxfId="21" priority="22" operator="containsText" text="B_3">
      <formula>NOT(ISERROR(SEARCH("B_3",L11)))</formula>
    </cfRule>
    <cfRule type="containsText" dxfId="20" priority="23" operator="containsText" text="A_3">
      <formula>NOT(ISERROR(SEARCH("A_3",L11)))</formula>
    </cfRule>
    <cfRule type="containsText" dxfId="19" priority="24" operator="containsText" text="D_2">
      <formula>NOT(ISERROR(SEARCH("D_2",L11)))</formula>
    </cfRule>
    <cfRule type="containsText" dxfId="18" priority="25" operator="containsText" text="C_2">
      <formula>NOT(ISERROR(SEARCH("C_2",L11)))</formula>
    </cfRule>
    <cfRule type="containsText" dxfId="17" priority="26" operator="containsText" text="B_2">
      <formula>NOT(ISERROR(SEARCH("B_2",L11)))</formula>
    </cfRule>
    <cfRule type="containsText" dxfId="16" priority="27" operator="containsText" text="A_2">
      <formula>NOT(ISERROR(SEARCH("A_2",L11)))</formula>
    </cfRule>
    <cfRule type="containsText" dxfId="15" priority="28" operator="containsText" text="D_1">
      <formula>NOT(ISERROR(SEARCH("D_1",L11)))</formula>
    </cfRule>
    <cfRule type="containsText" dxfId="14" priority="29" operator="containsText" text="C_1">
      <formula>NOT(ISERROR(SEARCH("C_1",L11)))</formula>
    </cfRule>
    <cfRule type="containsText" dxfId="13" priority="30" operator="containsText" text="B_1">
      <formula>NOT(ISERROR(SEARCH("B_1",L11)))</formula>
    </cfRule>
    <cfRule type="containsText" dxfId="12" priority="31" operator="containsText" text="A_1">
      <formula>NOT(ISERROR(SEARCH("A_1",L11)))</formula>
    </cfRule>
  </conditionalFormatting>
  <conditionalFormatting sqref="L11:T40">
    <cfRule type="containsText" dxfId="11" priority="18" operator="containsText" text="A_1">
      <formula>NOT(ISERROR(SEARCH("A_1",L11)))</formula>
    </cfRule>
    <cfRule type="containsText" dxfId="10" priority="17" operator="containsText" text="B_1">
      <formula>NOT(ISERROR(SEARCH("B_1",L11)))</formula>
    </cfRule>
    <cfRule type="containsText" dxfId="9" priority="16" operator="containsText" text="C_1">
      <formula>NOT(ISERROR(SEARCH("C_1",L11)))</formula>
    </cfRule>
    <cfRule type="containsText" dxfId="8" priority="15" operator="containsText" text="D_1">
      <formula>NOT(ISERROR(SEARCH("D_1",L11)))</formula>
    </cfRule>
    <cfRule type="containsText" dxfId="7" priority="14" operator="containsText" text="A_2">
      <formula>NOT(ISERROR(SEARCH("A_2",L11)))</formula>
    </cfRule>
    <cfRule type="containsText" dxfId="6" priority="13" operator="containsText" text="B_2">
      <formula>NOT(ISERROR(SEARCH("B_2",L11)))</formula>
    </cfRule>
    <cfRule type="containsText" dxfId="5" priority="12" operator="containsText" text="C_2">
      <formula>NOT(ISERROR(SEARCH("C_2",L11)))</formula>
    </cfRule>
    <cfRule type="containsText" dxfId="4" priority="11" operator="containsText" text="D_2">
      <formula>NOT(ISERROR(SEARCH("D_2",L11)))</formula>
    </cfRule>
    <cfRule type="containsText" dxfId="3" priority="10" operator="containsText" text="A_3">
      <formula>NOT(ISERROR(SEARCH("A_3",L11)))</formula>
    </cfRule>
    <cfRule type="containsText" dxfId="2" priority="5" operator="containsText" text="D_3">
      <formula>NOT(ISERROR(SEARCH("D_3",L11)))</formula>
    </cfRule>
    <cfRule type="containsText" dxfId="1" priority="6" operator="containsText" text="C_3">
      <formula>NOT(ISERROR(SEARCH("C_3",L11)))</formula>
    </cfRule>
    <cfRule type="containsText" dxfId="0" priority="7" operator="containsText" text="B_3">
      <formula>NOT(ISERROR(SEARCH("B_3",L11)))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RNA</vt:lpstr>
      <vt:lpstr>cDNA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Corine Alexis Faehn</cp:lastModifiedBy>
  <dcterms:created xsi:type="dcterms:W3CDTF">2021-08-01T18:23:35Z</dcterms:created>
  <dcterms:modified xsi:type="dcterms:W3CDTF">2021-08-02T08:41:00Z</dcterms:modified>
</cp:coreProperties>
</file>