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universitetetitromso-my.sharepoint.com/personal/cfa024_uit_no/Documents/Master's Thesis/Methods/RNA-cDNA/"/>
    </mc:Choice>
  </mc:AlternateContent>
  <xr:revisionPtr revIDLastSave="603" documentId="8_{1D24E89B-3CA6-AC46-BEDD-E70DA7122C93}" xr6:coauthVersionLast="47" xr6:coauthVersionMax="47" xr10:uidLastSave="{9DD8A084-C200-F74E-B473-7E3E549590F4}"/>
  <bookViews>
    <workbookView xWindow="0" yWindow="460" windowWidth="26600" windowHeight="16660" activeTab="2" xr2:uid="{00000000-000D-0000-FFFF-FFFF00000000}"/>
  </bookViews>
  <sheets>
    <sheet name="All Data" sheetId="1" r:id="rId1"/>
    <sheet name="Table lookup_N2" sheetId="2" r:id="rId2"/>
    <sheet name="cDNA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2" i="1" l="1"/>
  <c r="E117" i="1"/>
  <c r="I118" i="1"/>
  <c r="I117" i="1"/>
  <c r="H118" i="1"/>
  <c r="H117" i="1"/>
  <c r="E118" i="1"/>
  <c r="G34" i="1" l="1"/>
  <c r="J34" i="1" s="1"/>
  <c r="K34" i="1" s="1"/>
  <c r="G33" i="1"/>
  <c r="J33" i="1" s="1"/>
  <c r="K33" i="1" s="1"/>
  <c r="G49" i="1"/>
  <c r="J49" i="1" s="1"/>
  <c r="K49" i="1" s="1"/>
  <c r="G48" i="1"/>
  <c r="J48" i="1" s="1"/>
  <c r="K48" i="1" s="1"/>
  <c r="G47" i="1"/>
  <c r="J47" i="1" s="1"/>
  <c r="K47" i="1" s="1"/>
  <c r="G46" i="1"/>
  <c r="J46" i="1" s="1"/>
  <c r="K46" i="1" s="1"/>
  <c r="G45" i="1"/>
  <c r="J45" i="1" s="1"/>
  <c r="K45" i="1" s="1"/>
  <c r="G44" i="1"/>
  <c r="J44" i="1" s="1"/>
  <c r="K44" i="1" s="1"/>
  <c r="G43" i="1"/>
  <c r="J43" i="1" s="1"/>
  <c r="K43" i="1" s="1"/>
  <c r="G42" i="1"/>
  <c r="J42" i="1" s="1"/>
  <c r="K42" i="1" s="1"/>
  <c r="G41" i="1"/>
  <c r="J41" i="1" s="1"/>
  <c r="K41" i="1" s="1"/>
  <c r="G40" i="1"/>
  <c r="J40" i="1" s="1"/>
  <c r="K40" i="1" s="1"/>
  <c r="G39" i="1"/>
  <c r="J39" i="1" s="1"/>
  <c r="K39" i="1" s="1"/>
  <c r="G38" i="1"/>
  <c r="J38" i="1" s="1"/>
  <c r="K38" i="1" s="1"/>
  <c r="G115" i="1"/>
  <c r="J115" i="1" s="1"/>
  <c r="K115" i="1" s="1"/>
  <c r="G114" i="1"/>
  <c r="J114" i="1" s="1"/>
  <c r="K114" i="1" s="1"/>
  <c r="G113" i="1"/>
  <c r="J113" i="1" s="1"/>
  <c r="K113" i="1" s="1"/>
  <c r="G112" i="1"/>
  <c r="J112" i="1" s="1"/>
  <c r="K112" i="1" s="1"/>
  <c r="G111" i="1"/>
  <c r="J111" i="1" s="1"/>
  <c r="K111" i="1" s="1"/>
  <c r="G110" i="1"/>
  <c r="J110" i="1" s="1"/>
  <c r="K110" i="1" s="1"/>
  <c r="G109" i="1"/>
  <c r="J109" i="1" s="1"/>
  <c r="K109" i="1" s="1"/>
  <c r="G108" i="1"/>
  <c r="J108" i="1" s="1"/>
  <c r="K108" i="1" s="1"/>
  <c r="G107" i="1"/>
  <c r="J107" i="1" s="1"/>
  <c r="K107" i="1" s="1"/>
  <c r="G106" i="1"/>
  <c r="J106" i="1" s="1"/>
  <c r="K106" i="1" s="1"/>
  <c r="G105" i="1"/>
  <c r="J105" i="1" s="1"/>
  <c r="K105" i="1" s="1"/>
  <c r="G104" i="1"/>
  <c r="J104" i="1" s="1"/>
  <c r="K104" i="1" s="1"/>
  <c r="G103" i="1"/>
  <c r="J103" i="1" s="1"/>
  <c r="K103" i="1" s="1"/>
  <c r="G102" i="1"/>
  <c r="J102" i="1" s="1"/>
  <c r="K102" i="1" s="1"/>
  <c r="G101" i="1"/>
  <c r="J101" i="1" s="1"/>
  <c r="K101" i="1" s="1"/>
  <c r="G100" i="1"/>
  <c r="J100" i="1" s="1"/>
  <c r="K100" i="1" s="1"/>
  <c r="G99" i="1"/>
  <c r="J99" i="1" s="1"/>
  <c r="K99" i="1" s="1"/>
  <c r="G98" i="1"/>
  <c r="J98" i="1" s="1"/>
  <c r="K98" i="1" s="1"/>
  <c r="G97" i="1"/>
  <c r="J97" i="1" s="1"/>
  <c r="K97" i="1" s="1"/>
  <c r="G96" i="1"/>
  <c r="J96" i="1" s="1"/>
  <c r="K96" i="1" s="1"/>
  <c r="G95" i="1"/>
  <c r="J95" i="1" s="1"/>
  <c r="K95" i="1" s="1"/>
  <c r="G94" i="1"/>
  <c r="J94" i="1" s="1"/>
  <c r="K94" i="1" s="1"/>
  <c r="G93" i="1"/>
  <c r="J93" i="1" s="1"/>
  <c r="K93" i="1" s="1"/>
  <c r="G92" i="1"/>
  <c r="J92" i="1" s="1"/>
  <c r="K92" i="1" s="1"/>
  <c r="G91" i="1"/>
  <c r="J91" i="1" s="1"/>
  <c r="K91" i="1" s="1"/>
  <c r="G90" i="1"/>
  <c r="J90" i="1" s="1"/>
  <c r="K90" i="1" s="1"/>
  <c r="G89" i="1"/>
  <c r="J89" i="1" s="1"/>
  <c r="K89" i="1" s="1"/>
  <c r="G88" i="1"/>
  <c r="J88" i="1" s="1"/>
  <c r="K88" i="1" s="1"/>
  <c r="G87" i="1"/>
  <c r="J87" i="1" s="1"/>
  <c r="K87" i="1" s="1"/>
  <c r="G86" i="1"/>
  <c r="J86" i="1" s="1"/>
  <c r="K86" i="1" s="1"/>
  <c r="G85" i="1"/>
  <c r="J85" i="1" s="1"/>
  <c r="K85" i="1" s="1"/>
  <c r="G84" i="1"/>
  <c r="J84" i="1" s="1"/>
  <c r="K84" i="1" s="1"/>
  <c r="G83" i="1"/>
  <c r="J83" i="1" s="1"/>
  <c r="K83" i="1" s="1"/>
  <c r="G82" i="1"/>
  <c r="J82" i="1" s="1"/>
  <c r="K82" i="1" s="1"/>
  <c r="G81" i="1"/>
  <c r="J81" i="1" s="1"/>
  <c r="K81" i="1" s="1"/>
  <c r="G80" i="1"/>
  <c r="J80" i="1" s="1"/>
  <c r="K80" i="1" s="1"/>
  <c r="G79" i="1"/>
  <c r="J79" i="1" s="1"/>
  <c r="K79" i="1" s="1"/>
  <c r="G78" i="1"/>
  <c r="J78" i="1" s="1"/>
  <c r="K78" i="1" s="1"/>
  <c r="G77" i="1"/>
  <c r="J77" i="1" s="1"/>
  <c r="K77" i="1" s="1"/>
  <c r="G76" i="1"/>
  <c r="J76" i="1" s="1"/>
  <c r="K76" i="1" s="1"/>
  <c r="G75" i="1"/>
  <c r="J75" i="1" s="1"/>
  <c r="K75" i="1" s="1"/>
  <c r="G74" i="1"/>
  <c r="J74" i="1" s="1"/>
  <c r="K74" i="1" s="1"/>
  <c r="G73" i="1"/>
  <c r="J73" i="1" s="1"/>
  <c r="K73" i="1" s="1"/>
  <c r="G72" i="1"/>
  <c r="J72" i="1" s="1"/>
  <c r="K72" i="1" s="1"/>
  <c r="G71" i="1"/>
  <c r="J71" i="1" s="1"/>
  <c r="K71" i="1" s="1"/>
  <c r="G70" i="1"/>
  <c r="J70" i="1" s="1"/>
  <c r="K70" i="1" s="1"/>
  <c r="G69" i="1"/>
  <c r="J69" i="1" s="1"/>
  <c r="K69" i="1" s="1"/>
  <c r="G68" i="1"/>
  <c r="J68" i="1" s="1"/>
  <c r="K68" i="1" s="1"/>
  <c r="G67" i="1"/>
  <c r="J67" i="1" s="1"/>
  <c r="K67" i="1" s="1"/>
  <c r="G66" i="1"/>
  <c r="J66" i="1" s="1"/>
  <c r="K66" i="1" s="1"/>
  <c r="G65" i="1"/>
  <c r="J65" i="1" s="1"/>
  <c r="K65" i="1" s="1"/>
  <c r="G64" i="1"/>
  <c r="J64" i="1" s="1"/>
  <c r="K64" i="1" s="1"/>
  <c r="G63" i="1"/>
  <c r="J63" i="1" s="1"/>
  <c r="K63" i="1" s="1"/>
  <c r="G62" i="1"/>
  <c r="J62" i="1" s="1"/>
  <c r="K62" i="1" s="1"/>
  <c r="G61" i="1"/>
  <c r="J61" i="1" s="1"/>
  <c r="K61" i="1" s="1"/>
  <c r="G60" i="1"/>
  <c r="J60" i="1" s="1"/>
  <c r="K60" i="1" s="1"/>
  <c r="G59" i="1"/>
  <c r="J59" i="1" s="1"/>
  <c r="K59" i="1" s="1"/>
  <c r="G58" i="1"/>
  <c r="J58" i="1" s="1"/>
  <c r="K58" i="1" s="1"/>
  <c r="G57" i="1"/>
  <c r="J57" i="1" s="1"/>
  <c r="K57" i="1" s="1"/>
  <c r="G56" i="1"/>
  <c r="J56" i="1" s="1"/>
  <c r="K56" i="1" s="1"/>
  <c r="G55" i="1"/>
  <c r="J55" i="1" s="1"/>
  <c r="K55" i="1" s="1"/>
  <c r="G54" i="1"/>
  <c r="J54" i="1" s="1"/>
  <c r="K54" i="1" s="1"/>
  <c r="G53" i="1"/>
  <c r="J53" i="1" s="1"/>
  <c r="K53" i="1" s="1"/>
  <c r="G52" i="1"/>
  <c r="J52" i="1" s="1"/>
  <c r="K52" i="1" s="1"/>
  <c r="G51" i="1"/>
  <c r="J51" i="1" s="1"/>
  <c r="K51" i="1" s="1"/>
  <c r="G50" i="1"/>
  <c r="J50" i="1" s="1"/>
  <c r="K50" i="1" s="1"/>
  <c r="G37" i="1"/>
  <c r="J37" i="1" s="1"/>
  <c r="K37" i="1" s="1"/>
  <c r="G36" i="1"/>
  <c r="J36" i="1" s="1"/>
  <c r="K36" i="1" s="1"/>
  <c r="G35" i="1"/>
  <c r="J35" i="1" s="1"/>
  <c r="K35" i="1" s="1"/>
  <c r="G32" i="1"/>
  <c r="J32" i="1" s="1"/>
  <c r="K32" i="1" s="1"/>
  <c r="G31" i="1"/>
  <c r="J31" i="1" s="1"/>
  <c r="K31" i="1" s="1"/>
  <c r="G30" i="1"/>
  <c r="J30" i="1" s="1"/>
  <c r="K30" i="1" s="1"/>
  <c r="G29" i="1"/>
  <c r="J29" i="1" s="1"/>
  <c r="K29" i="1" s="1"/>
  <c r="G28" i="1"/>
  <c r="J28" i="1" s="1"/>
  <c r="K28" i="1" s="1"/>
  <c r="G27" i="1"/>
  <c r="J27" i="1" s="1"/>
  <c r="K27" i="1" s="1"/>
  <c r="G26" i="1"/>
  <c r="J26" i="1" s="1"/>
  <c r="K26" i="1" s="1"/>
  <c r="G25" i="1"/>
  <c r="J25" i="1" s="1"/>
  <c r="K25" i="1" s="1"/>
  <c r="G24" i="1"/>
  <c r="J24" i="1" s="1"/>
  <c r="K24" i="1" s="1"/>
  <c r="G23" i="1"/>
  <c r="J23" i="1" s="1"/>
  <c r="K23" i="1" s="1"/>
  <c r="G22" i="1"/>
  <c r="J22" i="1" s="1"/>
  <c r="K22" i="1" s="1"/>
  <c r="G21" i="1"/>
  <c r="J21" i="1" s="1"/>
  <c r="K21" i="1" s="1"/>
  <c r="G20" i="1"/>
  <c r="J20" i="1" s="1"/>
  <c r="K20" i="1" s="1"/>
  <c r="G19" i="1"/>
  <c r="J19" i="1" s="1"/>
  <c r="K19" i="1" s="1"/>
  <c r="G18" i="1"/>
  <c r="J18" i="1" s="1"/>
  <c r="K18" i="1" s="1"/>
  <c r="G17" i="1"/>
  <c r="J17" i="1" s="1"/>
  <c r="K17" i="1" s="1"/>
  <c r="G16" i="1"/>
  <c r="J16" i="1" s="1"/>
  <c r="K16" i="1" s="1"/>
  <c r="G15" i="1"/>
  <c r="J15" i="1" s="1"/>
  <c r="K15" i="1" s="1"/>
  <c r="G14" i="1"/>
  <c r="J14" i="1" s="1"/>
  <c r="K14" i="1" s="1"/>
  <c r="G13" i="1"/>
  <c r="J13" i="1" s="1"/>
  <c r="K13" i="1" s="1"/>
  <c r="G12" i="1"/>
  <c r="J12" i="1" s="1"/>
  <c r="K12" i="1" s="1"/>
  <c r="G11" i="1"/>
  <c r="J11" i="1" s="1"/>
  <c r="K11" i="1" s="1"/>
  <c r="G10" i="1"/>
  <c r="J10" i="1" s="1"/>
  <c r="K10" i="1" s="1"/>
  <c r="G9" i="1"/>
  <c r="J9" i="1" s="1"/>
  <c r="K9" i="1" s="1"/>
  <c r="G8" i="1"/>
  <c r="J8" i="1" s="1"/>
  <c r="K8" i="1" s="1"/>
  <c r="G7" i="1"/>
  <c r="J7" i="1" s="1"/>
  <c r="K7" i="1" s="1"/>
  <c r="G6" i="1"/>
  <c r="J6" i="1" s="1"/>
  <c r="K6" i="1" s="1"/>
  <c r="G5" i="1"/>
  <c r="J5" i="1" s="1"/>
  <c r="K5" i="1" s="1"/>
  <c r="G4" i="1"/>
  <c r="J4" i="1" s="1"/>
  <c r="K4" i="1" s="1"/>
  <c r="G3" i="1"/>
  <c r="J3" i="1" s="1"/>
  <c r="K3" i="1" s="1"/>
  <c r="G2" i="1"/>
  <c r="K2" i="1" l="1"/>
</calcChain>
</file>

<file path=xl/sharedStrings.xml><?xml version="1.0" encoding="utf-8"?>
<sst xmlns="http://schemas.openxmlformats.org/spreadsheetml/2006/main" count="1247" uniqueCount="457">
  <si>
    <t>Sample ID</t>
  </si>
  <si>
    <t>User name</t>
  </si>
  <si>
    <t>Date and Time</t>
  </si>
  <si>
    <t>Nucleic Acid Conc.</t>
  </si>
  <si>
    <t>Unit</t>
  </si>
  <si>
    <t>260/280</t>
  </si>
  <si>
    <t>260/230</t>
  </si>
  <si>
    <t>Sample Type</t>
  </si>
  <si>
    <t>Factor</t>
  </si>
  <si>
    <t>N2_1a_1</t>
  </si>
  <si>
    <t>Nanodrop 2000</t>
  </si>
  <si>
    <t>21.08.2020 12:27:25</t>
  </si>
  <si>
    <t>ng/µl</t>
  </si>
  <si>
    <t>RNA</t>
  </si>
  <si>
    <t>N2_1a_2</t>
  </si>
  <si>
    <t>21.08.2020 12:38:51</t>
  </si>
  <si>
    <t>N2_1a_3</t>
  </si>
  <si>
    <t>21.08.2020 12:45:18</t>
  </si>
  <si>
    <t>N2_1b_1</t>
  </si>
  <si>
    <t>21.08.2020 12:47:28</t>
  </si>
  <si>
    <t>N2_1b_2</t>
  </si>
  <si>
    <t>21.08.2020 12:48:50</t>
  </si>
  <si>
    <t>N2_1b_3</t>
  </si>
  <si>
    <t>21.08.2020 12:50:07</t>
  </si>
  <si>
    <t>N2_2a_1</t>
  </si>
  <si>
    <t>21.08.2020 12:51:26</t>
  </si>
  <si>
    <t>N2_2a_2</t>
  </si>
  <si>
    <t>21.08.2020 12:52:24</t>
  </si>
  <si>
    <t>N2_2a_3</t>
  </si>
  <si>
    <t>21.08.2020 12:53:26</t>
  </si>
  <si>
    <t>N2_2b_1</t>
  </si>
  <si>
    <t>21.08.2020 12:54:24</t>
  </si>
  <si>
    <t>N2_2b_2</t>
  </si>
  <si>
    <t>21.08.2020 12:55:42</t>
  </si>
  <si>
    <t>N2_2b_3</t>
  </si>
  <si>
    <t>21.08.2020 12:56:40</t>
  </si>
  <si>
    <t>N2_3A_1</t>
  </si>
  <si>
    <t>26.08.2020 12:25:41</t>
  </si>
  <si>
    <t>N2_3A_2</t>
  </si>
  <si>
    <t>26.08.2020 12:26:57</t>
  </si>
  <si>
    <t>N2_3A_3</t>
  </si>
  <si>
    <t>26.08.2020 12:27:55</t>
  </si>
  <si>
    <t>N2_3B_1</t>
  </si>
  <si>
    <t>26.08.2020 12:28:58</t>
  </si>
  <si>
    <t>N2_3B_2</t>
  </si>
  <si>
    <t>26.08.2020 12:29:54</t>
  </si>
  <si>
    <t>N2_3B_3</t>
  </si>
  <si>
    <t>26.08.2020 12:30:52</t>
  </si>
  <si>
    <t>N2_4A_1</t>
  </si>
  <si>
    <t>26.08.2020 12:31:48</t>
  </si>
  <si>
    <t>N2_4A_2</t>
  </si>
  <si>
    <t>26.08.2020 12:32:43</t>
  </si>
  <si>
    <t>N2_4A_3</t>
  </si>
  <si>
    <t>26.08.2020 12:33:41</t>
  </si>
  <si>
    <t>N2_4B_1</t>
  </si>
  <si>
    <t>26.08.2020 12:34:42</t>
  </si>
  <si>
    <t>N2_4B_2</t>
  </si>
  <si>
    <t>26.08.2020 12:35:26</t>
  </si>
  <si>
    <t>N2_4B_3</t>
  </si>
  <si>
    <t>26.08.2020 12:36:12</t>
  </si>
  <si>
    <t>N2_5A_1</t>
  </si>
  <si>
    <t>26.08.2020 12:37:11</t>
  </si>
  <si>
    <t>N2_5A_2</t>
  </si>
  <si>
    <t>26.08.2020 12:38:07</t>
  </si>
  <si>
    <t>N2_5A_3</t>
  </si>
  <si>
    <t>26.08.2020 12:38:54</t>
  </si>
  <si>
    <t>N2_5B_1</t>
  </si>
  <si>
    <t>26.08.2020 12:39:42</t>
  </si>
  <si>
    <t>N2_5B_2</t>
  </si>
  <si>
    <t>26.08.2020 12:40:26</t>
  </si>
  <si>
    <t>N2_5B_3</t>
  </si>
  <si>
    <t>26.08.2020 12:41:06</t>
  </si>
  <si>
    <t>N2_6A_1</t>
  </si>
  <si>
    <t>27.08.2020 11:44:11</t>
  </si>
  <si>
    <t>N2_8C_1</t>
  </si>
  <si>
    <t>28.08.2020 12:30:23</t>
  </si>
  <si>
    <t>N2_8C_2</t>
  </si>
  <si>
    <t>28.08.2020 12:32:21</t>
  </si>
  <si>
    <t>N2_8C_3</t>
  </si>
  <si>
    <t>28.08.2020 12:33:05</t>
  </si>
  <si>
    <t>N2_8D_1</t>
  </si>
  <si>
    <t>28.08.2020 12:33:54</t>
  </si>
  <si>
    <t>N2_8D_2</t>
  </si>
  <si>
    <t>28.08.2020 12:34:54</t>
  </si>
  <si>
    <t>N2_8D_3</t>
  </si>
  <si>
    <t>28.08.2020 12:35:49</t>
  </si>
  <si>
    <t>N2_9A_1</t>
  </si>
  <si>
    <t>28.08.2020 12:36:57</t>
  </si>
  <si>
    <t>N2_9A_2</t>
  </si>
  <si>
    <t>28.08.2020 12:37:45</t>
  </si>
  <si>
    <t>N2_9A_3</t>
  </si>
  <si>
    <t>28.08.2020 12:38:30</t>
  </si>
  <si>
    <t>N2_9B_1</t>
  </si>
  <si>
    <t>28.08.2020 12:39:23</t>
  </si>
  <si>
    <t>N2_9B_2</t>
  </si>
  <si>
    <t>28.08.2020 12:40:01</t>
  </si>
  <si>
    <t>N2_9B_3</t>
  </si>
  <si>
    <t>28.08.2020 12:40:46</t>
  </si>
  <si>
    <t>N2_9C_1</t>
  </si>
  <si>
    <t>28.08.2020 12:41:54</t>
  </si>
  <si>
    <t>N2_9C_2</t>
  </si>
  <si>
    <t>28.08.2020 12:42:40</t>
  </si>
  <si>
    <t>N2_9C_3</t>
  </si>
  <si>
    <t>N2_9D_1</t>
  </si>
  <si>
    <t>28.08.2020 12:44:21</t>
  </si>
  <si>
    <t>N2_9D_2</t>
  </si>
  <si>
    <t>28.08.2020 12:45:08</t>
  </si>
  <si>
    <t>N2_9D_3</t>
  </si>
  <si>
    <t>28.08.2020 12:45:48</t>
  </si>
  <si>
    <t>N2_10A_1</t>
  </si>
  <si>
    <t>N2_10A_2</t>
  </si>
  <si>
    <t>N2_10A_3</t>
  </si>
  <si>
    <t>01.09.2020 12:34:53</t>
  </si>
  <si>
    <t>N2_10B_1</t>
  </si>
  <si>
    <t>01.09.2020 12:35:44</t>
  </si>
  <si>
    <t>N2_10B_2</t>
  </si>
  <si>
    <t>01.09.2020 12:36:40</t>
  </si>
  <si>
    <t>N2_10B_3</t>
  </si>
  <si>
    <t>01.09.2020 12:37:22</t>
  </si>
  <si>
    <t>N2_10C_1</t>
  </si>
  <si>
    <t>N2_10C_2</t>
  </si>
  <si>
    <t>01.09.2020 12:39:14</t>
  </si>
  <si>
    <t>N2_10C_3</t>
  </si>
  <si>
    <t>N2_10D_1</t>
  </si>
  <si>
    <t>N2_10D_2</t>
  </si>
  <si>
    <t>01.09.2020 12:41:43</t>
  </si>
  <si>
    <t>N2_10D_3</t>
  </si>
  <si>
    <t>N2_11A_1</t>
  </si>
  <si>
    <t>01.09.2020 12:43:11</t>
  </si>
  <si>
    <t>N2_11A_2</t>
  </si>
  <si>
    <t>01.09.2020 12:43:50</t>
  </si>
  <si>
    <t>N2_11A_3</t>
  </si>
  <si>
    <t>01.09.2020 12:44:30</t>
  </si>
  <si>
    <t>N2_11B_1</t>
  </si>
  <si>
    <t>N2_11B_2</t>
  </si>
  <si>
    <t>N2_11B_3</t>
  </si>
  <si>
    <t>N2_11C_1</t>
  </si>
  <si>
    <t>N2_11C_2</t>
  </si>
  <si>
    <t>02.09.2020 11:39:52</t>
  </si>
  <si>
    <t>N2_11C_3</t>
  </si>
  <si>
    <t>02.09.2020 11:40:32</t>
  </si>
  <si>
    <t>N2_11D_1</t>
  </si>
  <si>
    <t>02.09.2020 11:41:27</t>
  </si>
  <si>
    <t>N2_11D_2</t>
  </si>
  <si>
    <t>02.09.2020 11:42:28</t>
  </si>
  <si>
    <t>N2_11D_3</t>
  </si>
  <si>
    <t>02.09.2020 11:43:10</t>
  </si>
  <si>
    <t>N2_12A_1</t>
  </si>
  <si>
    <t>N2_12A_2</t>
  </si>
  <si>
    <t>02.09.2020 11:45:21</t>
  </si>
  <si>
    <t>N2_12A_3</t>
  </si>
  <si>
    <t>02.09.2020 11:46:08</t>
  </si>
  <si>
    <t>N2_12B_1</t>
  </si>
  <si>
    <t>N2_12B_2</t>
  </si>
  <si>
    <t>02.09.2020 11:48:20</t>
  </si>
  <si>
    <t>N2_12B_3</t>
  </si>
  <si>
    <t>N2_12C_1</t>
  </si>
  <si>
    <t>02.09.2020 11:49:53</t>
  </si>
  <si>
    <t>N2_12C_2</t>
  </si>
  <si>
    <t>N2_12C_3</t>
  </si>
  <si>
    <t>02.09.2020 11:51:30</t>
  </si>
  <si>
    <t>N2_12D_1</t>
  </si>
  <si>
    <t>02.09.2020 11:52:12</t>
  </si>
  <si>
    <t>N2_12D_2</t>
  </si>
  <si>
    <t>02.09.2020 11:52:52</t>
  </si>
  <si>
    <t>N2_12D_3</t>
  </si>
  <si>
    <t>02.09.2020 11:53:41</t>
  </si>
  <si>
    <t>N2_13A_1</t>
  </si>
  <si>
    <t>04.09.2020 15:08:09</t>
  </si>
  <si>
    <t>N2_13A_2</t>
  </si>
  <si>
    <t>04.09.2020 15:08:45</t>
  </si>
  <si>
    <t>N2_13A_3</t>
  </si>
  <si>
    <t>04.09.2020 15:09:20</t>
  </si>
  <si>
    <t>N2_13B_1</t>
  </si>
  <si>
    <t>04.09.2020 15:10:01</t>
  </si>
  <si>
    <t>N2_13B_2</t>
  </si>
  <si>
    <t>04.09.2020 15:10:52</t>
  </si>
  <si>
    <t>N2_13B_3</t>
  </si>
  <si>
    <t>04.09.2020 15:11:32</t>
  </si>
  <si>
    <t>N2_13C_1</t>
  </si>
  <si>
    <t>04.09.2020 15:12:13</t>
  </si>
  <si>
    <t>N2_13C_2</t>
  </si>
  <si>
    <t>04.09.2020 15:12:58</t>
  </si>
  <si>
    <t>N2_13C_3</t>
  </si>
  <si>
    <t>04.09.2020 15:13:45</t>
  </si>
  <si>
    <t>N2_13D_1</t>
  </si>
  <si>
    <t>04.09.2020 15:14:27</t>
  </si>
  <si>
    <t>N2_13D_2</t>
  </si>
  <si>
    <t>04.09.2020 15:15:10</t>
  </si>
  <si>
    <t>N2_13D_3</t>
  </si>
  <si>
    <t>04.09.2020 15:15:49</t>
  </si>
  <si>
    <t>N2_6B_1</t>
  </si>
  <si>
    <t>03.09.2020 11:20:55</t>
  </si>
  <si>
    <t>N2_6B_2</t>
  </si>
  <si>
    <t>03.09.2020 11:21:44</t>
  </si>
  <si>
    <t>N2_6B_3</t>
  </si>
  <si>
    <t>03.09.2020 11:22:26</t>
  </si>
  <si>
    <t>03.09.2020 11:27:49</t>
  </si>
  <si>
    <t>03.09.2020 11:28:33</t>
  </si>
  <si>
    <t>03.09.2020 11:33:23</t>
  </si>
  <si>
    <t>03.09.2020 11:34:07</t>
  </si>
  <si>
    <t>03.09.2020 11:34:49</t>
  </si>
  <si>
    <t>03.09.2020 11:36:08</t>
  </si>
  <si>
    <t>04.09.2020 15:01:56</t>
  </si>
  <si>
    <t>04.09.2020 15:03:09</t>
  </si>
  <si>
    <t>04.09.2020 15:03:55</t>
  </si>
  <si>
    <t>04.09.2020 15:04:46</t>
  </si>
  <si>
    <t>04.09.2020 15:05:32</t>
  </si>
  <si>
    <t>04.09.2020 15:06:19</t>
  </si>
  <si>
    <t>Volume water</t>
  </si>
  <si>
    <t>Volume RNA (max 6uL)</t>
  </si>
  <si>
    <t>N2_7A_2</t>
  </si>
  <si>
    <t>N2_7A_3</t>
  </si>
  <si>
    <t>03.09.2020 11:25:27</t>
  </si>
  <si>
    <t>03.09.2020 11:32:25</t>
  </si>
  <si>
    <t>03.09.2020 11:35:32</t>
  </si>
  <si>
    <t>N2_6A_2</t>
  </si>
  <si>
    <t>27.08.2020 11:45:05</t>
  </si>
  <si>
    <t>N2_6A_3</t>
  </si>
  <si>
    <t>27.08.2020 11:45:45</t>
  </si>
  <si>
    <t>N2_7A_1</t>
  </si>
  <si>
    <t>27.08.2020 11:48:59</t>
  </si>
  <si>
    <t>27.08.2020 11:49:52</t>
  </si>
  <si>
    <t>27.08.2020 11:50:54</t>
  </si>
  <si>
    <t>N2_7B_1</t>
  </si>
  <si>
    <t>27.08.2020 11:51:39</t>
  </si>
  <si>
    <t>N2_7B_2</t>
  </si>
  <si>
    <t>27.08.2020 11:52:20</t>
  </si>
  <si>
    <t>N2_7B_3</t>
  </si>
  <si>
    <t>27.08.2020 11:53:14</t>
  </si>
  <si>
    <t>N2_8A_1</t>
  </si>
  <si>
    <t>27.08.2020 11:53:58</t>
  </si>
  <si>
    <t>N2_8A_2</t>
  </si>
  <si>
    <t>27.08.2020 11:54:45</t>
  </si>
  <si>
    <t>N2_8A_3</t>
  </si>
  <si>
    <t>27.08.2020 11:55:32</t>
  </si>
  <si>
    <t>N2_8B_1</t>
  </si>
  <si>
    <t>27.08.2020 11:56:13</t>
  </si>
  <si>
    <t>N2_8B_2</t>
  </si>
  <si>
    <t>27.08.2020 11:56:53</t>
  </si>
  <si>
    <t>N2_8B_3</t>
  </si>
  <si>
    <t>27.08.2020 11:57:42</t>
  </si>
  <si>
    <t>INDEX</t>
  </si>
  <si>
    <t>N2_1A_1</t>
  </si>
  <si>
    <t>N2_1A_2</t>
  </si>
  <si>
    <t>N2_1A_3</t>
  </si>
  <si>
    <t>N2_1B_1</t>
  </si>
  <si>
    <t>N2_2B_1</t>
  </si>
  <si>
    <t>N2_2A_3</t>
  </si>
  <si>
    <t>N2_2A_2</t>
  </si>
  <si>
    <t>N2_2A_1</t>
  </si>
  <si>
    <t>N2_1B_3</t>
  </si>
  <si>
    <t>N2_1B_2</t>
  </si>
  <si>
    <t>N2_2B_2</t>
  </si>
  <si>
    <t>N2_2B_3</t>
  </si>
  <si>
    <t>Did not synthesize cDNA</t>
  </si>
  <si>
    <t>KEY</t>
  </si>
  <si>
    <t>Column1</t>
  </si>
  <si>
    <t>Used for cDNA pool</t>
  </si>
  <si>
    <t>Omitted from PCR analysis</t>
  </si>
  <si>
    <t>uL to get 750 ng (0.75 ug)</t>
  </si>
  <si>
    <t>1A 1</t>
  </si>
  <si>
    <t>4.3 RNA</t>
  </si>
  <si>
    <t>1.7 H2O</t>
  </si>
  <si>
    <t>1A 3</t>
  </si>
  <si>
    <t>2.1 RNA</t>
  </si>
  <si>
    <t>3.9 H2O</t>
  </si>
  <si>
    <t>1B 1</t>
  </si>
  <si>
    <t>5 RNA</t>
  </si>
  <si>
    <t>1 H2O</t>
  </si>
  <si>
    <t>1B 2</t>
  </si>
  <si>
    <t>2 RNA</t>
  </si>
  <si>
    <t>4 H2O</t>
  </si>
  <si>
    <t>1B 3</t>
  </si>
  <si>
    <t>1.9 RNA</t>
  </si>
  <si>
    <t>4.1 H2O</t>
  </si>
  <si>
    <t>2A 1</t>
  </si>
  <si>
    <t>2A 2</t>
  </si>
  <si>
    <t>6 RNA</t>
  </si>
  <si>
    <t>2A 3</t>
  </si>
  <si>
    <t xml:space="preserve">2.3 RNA </t>
  </si>
  <si>
    <t>3.7 H2O</t>
  </si>
  <si>
    <t>2B 1</t>
  </si>
  <si>
    <t>3.8 RNA</t>
  </si>
  <si>
    <t>2.2 H2O</t>
  </si>
  <si>
    <t>2B 2</t>
  </si>
  <si>
    <t>5.8 RNA</t>
  </si>
  <si>
    <t>0.2 H2O</t>
  </si>
  <si>
    <t>2B 3</t>
  </si>
  <si>
    <t>3A 1</t>
  </si>
  <si>
    <t>1.4 RNA</t>
  </si>
  <si>
    <t>4.6 H2O</t>
  </si>
  <si>
    <t>3A 2</t>
  </si>
  <si>
    <t>3A 3</t>
  </si>
  <si>
    <t>1.8 RNA</t>
  </si>
  <si>
    <t>4.2 H2O</t>
  </si>
  <si>
    <t>3B 1</t>
  </si>
  <si>
    <t>3.5 RNA</t>
  </si>
  <si>
    <t>2.5 H2O</t>
  </si>
  <si>
    <t>3B 2</t>
  </si>
  <si>
    <t>2.3 RNA</t>
  </si>
  <si>
    <t>3B 3</t>
  </si>
  <si>
    <t>2.7 RNA</t>
  </si>
  <si>
    <t>3.3 H2O</t>
  </si>
  <si>
    <t>4A 1</t>
  </si>
  <si>
    <t>1.7 RNA</t>
  </si>
  <si>
    <t>4.3 H2O</t>
  </si>
  <si>
    <t>4A 2</t>
  </si>
  <si>
    <t>4A 3</t>
  </si>
  <si>
    <t>4B 1</t>
  </si>
  <si>
    <t>4B 2</t>
  </si>
  <si>
    <t>4B 3</t>
  </si>
  <si>
    <t>5A 1</t>
  </si>
  <si>
    <t>5A 2</t>
  </si>
  <si>
    <t>5.6 RNA</t>
  </si>
  <si>
    <t>0.4 H2O</t>
  </si>
  <si>
    <t>5A 3</t>
  </si>
  <si>
    <t>5B 1</t>
  </si>
  <si>
    <t>2.8 RNA</t>
  </si>
  <si>
    <t>3.2 H2O</t>
  </si>
  <si>
    <t>5B 2</t>
  </si>
  <si>
    <t>2.2 RNA</t>
  </si>
  <si>
    <t>3.8 H2O</t>
  </si>
  <si>
    <t>5B 3</t>
  </si>
  <si>
    <t>6A 1</t>
  </si>
  <si>
    <t>5.1 RNA</t>
  </si>
  <si>
    <t>0.9 H2O</t>
  </si>
  <si>
    <t>6A 2</t>
  </si>
  <si>
    <t>6A 3</t>
  </si>
  <si>
    <t>3.7 RNA</t>
  </si>
  <si>
    <t>2.3 H2O</t>
  </si>
  <si>
    <t>6B 1</t>
  </si>
  <si>
    <t>5.4 RNA</t>
  </si>
  <si>
    <t>0.6 H2O</t>
  </si>
  <si>
    <t>6B 2</t>
  </si>
  <si>
    <t>6B 3</t>
  </si>
  <si>
    <t>5.5 RNA</t>
  </si>
  <si>
    <t>0.5 H2O</t>
  </si>
  <si>
    <t>7A 1</t>
  </si>
  <si>
    <t>7A 2</t>
  </si>
  <si>
    <t>3.9 RNA</t>
  </si>
  <si>
    <t>2.1 H2O</t>
  </si>
  <si>
    <t>7A 3</t>
  </si>
  <si>
    <t>5.7 RNA</t>
  </si>
  <si>
    <t>0.3 H2O</t>
  </si>
  <si>
    <t>7B 1</t>
  </si>
  <si>
    <t>3.1 RNA</t>
  </si>
  <si>
    <t>2.9 RNA</t>
  </si>
  <si>
    <t>7B 2</t>
  </si>
  <si>
    <t xml:space="preserve">2.6 RNA </t>
  </si>
  <si>
    <t>3.4 H2O</t>
  </si>
  <si>
    <t xml:space="preserve">7B 3 </t>
  </si>
  <si>
    <t>8A 1</t>
  </si>
  <si>
    <t>8A 2</t>
  </si>
  <si>
    <t>2.5 RNA</t>
  </si>
  <si>
    <t>3.5 H2O</t>
  </si>
  <si>
    <t>8A 3</t>
  </si>
  <si>
    <t>1.2 RNA</t>
  </si>
  <si>
    <t>4.8 H2O</t>
  </si>
  <si>
    <t>8B 1</t>
  </si>
  <si>
    <t>3.6 RNA</t>
  </si>
  <si>
    <t>2.4 H2O</t>
  </si>
  <si>
    <t>8B 2</t>
  </si>
  <si>
    <t>8B 3</t>
  </si>
  <si>
    <t>0.8 RNA</t>
  </si>
  <si>
    <t>5.2 H2O</t>
  </si>
  <si>
    <t>8C 1</t>
  </si>
  <si>
    <t>1.5 RNA</t>
  </si>
  <si>
    <t>4.5 H2O</t>
  </si>
  <si>
    <t>8C 2</t>
  </si>
  <si>
    <t>8C 3</t>
  </si>
  <si>
    <t>8D 1</t>
  </si>
  <si>
    <t>2.0 RNA</t>
  </si>
  <si>
    <t>4.0 H2O</t>
  </si>
  <si>
    <t>8D 2</t>
  </si>
  <si>
    <t>8D 3</t>
  </si>
  <si>
    <t>9A 1</t>
  </si>
  <si>
    <t>9A 2</t>
  </si>
  <si>
    <t>1.6 RNA</t>
  </si>
  <si>
    <t>4.4 H2O</t>
  </si>
  <si>
    <t>9A 3</t>
  </si>
  <si>
    <t>9B 1</t>
  </si>
  <si>
    <t>9B 2</t>
  </si>
  <si>
    <t>9B 3</t>
  </si>
  <si>
    <t>0.9 RNA</t>
  </si>
  <si>
    <t>5.1 H2O</t>
  </si>
  <si>
    <t>9C 1</t>
  </si>
  <si>
    <t>2.4 RNA</t>
  </si>
  <si>
    <t>3.6 H2O</t>
  </si>
  <si>
    <t>9C 2</t>
  </si>
  <si>
    <t>9C 3</t>
  </si>
  <si>
    <t>9D 1</t>
  </si>
  <si>
    <t>1.3 RNA</t>
  </si>
  <si>
    <t>4.7 H2O</t>
  </si>
  <si>
    <t>9D 2</t>
  </si>
  <si>
    <t>1.0 RNA</t>
  </si>
  <si>
    <t>5.0 H2O</t>
  </si>
  <si>
    <t>9D 3</t>
  </si>
  <si>
    <t>10A 1</t>
  </si>
  <si>
    <t>6.0 RNA</t>
  </si>
  <si>
    <t>10A 2</t>
  </si>
  <si>
    <t>10B 1</t>
  </si>
  <si>
    <t>10B 2</t>
  </si>
  <si>
    <t>10B 3</t>
  </si>
  <si>
    <t>10C 1</t>
  </si>
  <si>
    <t>10C 2</t>
  </si>
  <si>
    <t xml:space="preserve">5.4 RNA </t>
  </si>
  <si>
    <t>10C 3</t>
  </si>
  <si>
    <t>10D 1</t>
  </si>
  <si>
    <t>10D 2</t>
  </si>
  <si>
    <t>10D 3</t>
  </si>
  <si>
    <t>11A 1</t>
  </si>
  <si>
    <t>11A 2</t>
  </si>
  <si>
    <t>11A 3</t>
  </si>
  <si>
    <t>11B 1</t>
  </si>
  <si>
    <t>3.0 RNA</t>
  </si>
  <si>
    <t>3.0 H2O</t>
  </si>
  <si>
    <t>11B 2</t>
  </si>
  <si>
    <t>11B 3</t>
  </si>
  <si>
    <t>11C 1</t>
  </si>
  <si>
    <t>11C 3</t>
  </si>
  <si>
    <t>11D 1</t>
  </si>
  <si>
    <t>11D 2</t>
  </si>
  <si>
    <t>11D 3</t>
  </si>
  <si>
    <t>2.3 H20</t>
  </si>
  <si>
    <t>12A 1</t>
  </si>
  <si>
    <t>12A 2</t>
  </si>
  <si>
    <t>12A 3</t>
  </si>
  <si>
    <t>12B 1</t>
  </si>
  <si>
    <t>12B 2</t>
  </si>
  <si>
    <t>12B 3</t>
  </si>
  <si>
    <t>12C 1</t>
  </si>
  <si>
    <t>12C 2</t>
  </si>
  <si>
    <t>2.6 RNA</t>
  </si>
  <si>
    <t>12C 3</t>
  </si>
  <si>
    <t>12D 1</t>
  </si>
  <si>
    <t>2.9 H2O</t>
  </si>
  <si>
    <t>12D 2</t>
  </si>
  <si>
    <t>12D 3</t>
  </si>
  <si>
    <t>13A 1</t>
  </si>
  <si>
    <t>13A 2</t>
  </si>
  <si>
    <t>13A 3</t>
  </si>
  <si>
    <t>3.2 RNA</t>
  </si>
  <si>
    <t>2.8 H2O</t>
  </si>
  <si>
    <t>13B 1</t>
  </si>
  <si>
    <t>13B 2</t>
  </si>
  <si>
    <t xml:space="preserve">4.0 H2O </t>
  </si>
  <si>
    <t>13B 3</t>
  </si>
  <si>
    <t>13C 1</t>
  </si>
  <si>
    <t xml:space="preserve">6.0 RNA </t>
  </si>
  <si>
    <t>13C 2</t>
  </si>
  <si>
    <t>13C 3</t>
  </si>
  <si>
    <t>13D 1</t>
  </si>
  <si>
    <t>3.3 RNA</t>
  </si>
  <si>
    <t>2.7 H2O</t>
  </si>
  <si>
    <t>13D 2</t>
  </si>
  <si>
    <t>13D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</si>
</sst>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26" x14ac:knownFonts="1">
    <font>
      <sz val="10"/>
      <name val="Arial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sz val="12"/>
      <name val="Calibri"/>
      <family val="2"/>
    </font>
    <font>
      <sz val="11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CD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DCDCFE"/>
        <bgColor indexed="64"/>
      </patternFill>
    </fill>
    <fill>
      <patternFill patternType="solid">
        <fgColor theme="1"/>
        <bgColor theme="1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medium">
        <color rgb="FFBFBFBF"/>
      </left>
      <right style="medium">
        <color rgb="FFBFBFBF"/>
      </right>
      <top style="medium">
        <color rgb="FFBFBFBF"/>
      </top>
      <bottom style="medium">
        <color rgb="FFBFBFBF"/>
      </bottom>
      <diagonal/>
    </border>
    <border>
      <left/>
      <right style="medium">
        <color rgb="FFBFBFBF"/>
      </right>
      <top style="medium">
        <color rgb="FFBFBFBF"/>
      </top>
      <bottom style="medium">
        <color rgb="FFBFBFBF"/>
      </bottom>
      <diagonal/>
    </border>
    <border>
      <left style="medium">
        <color rgb="FFBFBFBF"/>
      </left>
      <right style="medium">
        <color rgb="FFBFBFBF"/>
      </right>
      <top/>
      <bottom style="medium">
        <color rgb="FFBFBFBF"/>
      </bottom>
      <diagonal/>
    </border>
    <border>
      <left/>
      <right style="medium">
        <color rgb="FFBFBFBF"/>
      </right>
      <top/>
      <bottom style="medium">
        <color rgb="FFBFBFBF"/>
      </bottom>
      <diagonal/>
    </border>
    <border>
      <left style="medium">
        <color rgb="FFBFBFBF"/>
      </left>
      <right style="medium">
        <color rgb="FFBFBFBF"/>
      </right>
      <top/>
      <bottom/>
      <diagonal/>
    </border>
    <border>
      <left/>
      <right style="medium">
        <color rgb="FFBFBFBF"/>
      </right>
      <top/>
      <bottom/>
      <diagonal/>
    </border>
    <border>
      <left style="medium">
        <color rgb="FFBFBFBF"/>
      </left>
      <right style="medium">
        <color rgb="FFBFBFBF"/>
      </right>
      <top style="medium">
        <color rgb="FFBFBFBF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1">
    <xf numFmtId="0" fontId="0" fillId="0" borderId="0" xfId="0"/>
    <xf numFmtId="0" fontId="18" fillId="33" borderId="10" xfId="0" applyFont="1" applyFill="1" applyBorder="1"/>
    <xf numFmtId="164" fontId="0" fillId="0" borderId="0" xfId="0" applyNumberFormat="1"/>
    <xf numFmtId="2" fontId="0" fillId="0" borderId="0" xfId="0" applyNumberFormat="1"/>
    <xf numFmtId="0" fontId="19" fillId="0" borderId="0" xfId="0" applyFont="1"/>
    <xf numFmtId="0" fontId="0" fillId="34" borderId="0" xfId="0" applyFill="1"/>
    <xf numFmtId="164" fontId="0" fillId="34" borderId="0" xfId="0" applyNumberFormat="1" applyFill="1"/>
    <xf numFmtId="0" fontId="0" fillId="0" borderId="0" xfId="0" applyBorder="1"/>
    <xf numFmtId="164" fontId="0" fillId="0" borderId="0" xfId="0" applyNumberFormat="1" applyBorder="1"/>
    <xf numFmtId="0" fontId="0" fillId="34" borderId="0" xfId="0" applyFill="1" applyBorder="1"/>
    <xf numFmtId="164" fontId="0" fillId="34" borderId="0" xfId="0" applyNumberFormat="1" applyFill="1" applyBorder="1"/>
    <xf numFmtId="0" fontId="0" fillId="0" borderId="0" xfId="0" applyFill="1"/>
    <xf numFmtId="164" fontId="0" fillId="0" borderId="0" xfId="0" applyNumberFormat="1" applyFill="1"/>
    <xf numFmtId="165" fontId="0" fillId="34" borderId="0" xfId="0" applyNumberFormat="1" applyFill="1" applyBorder="1"/>
    <xf numFmtId="165" fontId="0" fillId="34" borderId="0" xfId="0" applyNumberFormat="1" applyFill="1"/>
    <xf numFmtId="165" fontId="0" fillId="0" borderId="0" xfId="0" applyNumberFormat="1"/>
    <xf numFmtId="165" fontId="0" fillId="0" borderId="0" xfId="0" applyNumberFormat="1" applyBorder="1"/>
    <xf numFmtId="165" fontId="0" fillId="0" borderId="0" xfId="0" applyNumberFormat="1" applyFill="1"/>
    <xf numFmtId="0" fontId="18" fillId="0" borderId="10" xfId="0" applyFont="1" applyFill="1" applyBorder="1"/>
    <xf numFmtId="0" fontId="0" fillId="0" borderId="0" xfId="0" applyFill="1" applyBorder="1"/>
    <xf numFmtId="0" fontId="18" fillId="0" borderId="10" xfId="0" applyFont="1" applyBorder="1"/>
    <xf numFmtId="0" fontId="19" fillId="34" borderId="0" xfId="0" applyFont="1" applyFill="1" applyBorder="1"/>
    <xf numFmtId="0" fontId="0" fillId="0" borderId="12" xfId="0" applyBorder="1"/>
    <xf numFmtId="0" fontId="0" fillId="0" borderId="14" xfId="0" applyBorder="1"/>
    <xf numFmtId="0" fontId="0" fillId="35" borderId="11" xfId="0" applyFill="1" applyBorder="1"/>
    <xf numFmtId="0" fontId="19" fillId="34" borderId="11" xfId="0" applyFont="1" applyFill="1" applyBorder="1"/>
    <xf numFmtId="0" fontId="0" fillId="34" borderId="11" xfId="0" applyFill="1" applyBorder="1"/>
    <xf numFmtId="0" fontId="0" fillId="34" borderId="13" xfId="0" applyFill="1" applyBorder="1"/>
    <xf numFmtId="0" fontId="19" fillId="36" borderId="11" xfId="0" applyFont="1" applyFill="1" applyBorder="1"/>
    <xf numFmtId="0" fontId="0" fillId="36" borderId="11" xfId="0" applyFill="1" applyBorder="1"/>
    <xf numFmtId="0" fontId="19" fillId="35" borderId="11" xfId="0" applyFont="1" applyFill="1" applyBorder="1"/>
    <xf numFmtId="0" fontId="0" fillId="37" borderId="0" xfId="0" applyFill="1"/>
    <xf numFmtId="0" fontId="19" fillId="0" borderId="0" xfId="0" applyFont="1" applyBorder="1"/>
    <xf numFmtId="0" fontId="0" fillId="37" borderId="0" xfId="0" applyFill="1" applyBorder="1"/>
    <xf numFmtId="0" fontId="18" fillId="38" borderId="10" xfId="0" applyFont="1" applyFill="1" applyBorder="1"/>
    <xf numFmtId="164" fontId="0" fillId="37" borderId="0" xfId="0" applyNumberFormat="1" applyFill="1"/>
    <xf numFmtId="165" fontId="0" fillId="37" borderId="0" xfId="0" applyNumberFormat="1" applyFill="1"/>
    <xf numFmtId="0" fontId="22" fillId="39" borderId="16" xfId="0" applyFont="1" applyFill="1" applyBorder="1"/>
    <xf numFmtId="0" fontId="23" fillId="0" borderId="15" xfId="0" applyFont="1" applyBorder="1"/>
    <xf numFmtId="0" fontId="23" fillId="0" borderId="16" xfId="0" applyFont="1" applyBorder="1"/>
    <xf numFmtId="0" fontId="21" fillId="39" borderId="15" xfId="0" applyFont="1" applyFill="1" applyBorder="1"/>
    <xf numFmtId="0" fontId="23" fillId="34" borderId="15" xfId="0" applyFont="1" applyFill="1" applyBorder="1"/>
    <xf numFmtId="0" fontId="23" fillId="34" borderId="16" xfId="0" applyFont="1" applyFill="1" applyBorder="1"/>
    <xf numFmtId="0" fontId="20" fillId="37" borderId="15" xfId="0" applyFont="1" applyFill="1" applyBorder="1"/>
    <xf numFmtId="0" fontId="23" fillId="37" borderId="16" xfId="0" applyFont="1" applyFill="1" applyBorder="1"/>
    <xf numFmtId="0" fontId="20" fillId="35" borderId="15" xfId="0" applyFont="1" applyFill="1" applyBorder="1"/>
    <xf numFmtId="0" fontId="23" fillId="35" borderId="16" xfId="0" applyFont="1" applyFill="1" applyBorder="1"/>
    <xf numFmtId="0" fontId="19" fillId="0" borderId="0" xfId="0" applyFont="1" applyFill="1"/>
    <xf numFmtId="0" fontId="24" fillId="0" borderId="17" xfId="0" applyFont="1" applyBorder="1" applyAlignment="1">
      <alignment vertical="center" wrapText="1"/>
    </xf>
    <xf numFmtId="0" fontId="24" fillId="0" borderId="18" xfId="0" applyFont="1" applyBorder="1" applyAlignment="1">
      <alignment vertical="center" wrapText="1"/>
    </xf>
    <xf numFmtId="0" fontId="24" fillId="0" borderId="19" xfId="0" applyFont="1" applyBorder="1" applyAlignment="1">
      <alignment vertical="center" wrapText="1"/>
    </xf>
    <xf numFmtId="0" fontId="24" fillId="0" borderId="20" xfId="0" applyFont="1" applyBorder="1" applyAlignment="1">
      <alignment vertical="center" wrapText="1"/>
    </xf>
    <xf numFmtId="0" fontId="25" fillId="0" borderId="22" xfId="0" applyFont="1" applyBorder="1" applyAlignment="1">
      <alignment vertical="center" wrapText="1"/>
    </xf>
    <xf numFmtId="0" fontId="25" fillId="0" borderId="20" xfId="0" applyFont="1" applyBorder="1" applyAlignment="1">
      <alignment vertical="center" wrapText="1"/>
    </xf>
    <xf numFmtId="0" fontId="0" fillId="0" borderId="20" xfId="0" applyBorder="1" applyAlignment="1">
      <alignment vertical="top" wrapText="1"/>
    </xf>
    <xf numFmtId="0" fontId="24" fillId="0" borderId="21" xfId="0" applyFont="1" applyBorder="1" applyAlignment="1">
      <alignment vertical="center" wrapText="1"/>
    </xf>
    <xf numFmtId="0" fontId="24" fillId="0" borderId="23" xfId="0" applyFont="1" applyBorder="1" applyAlignment="1">
      <alignment vertical="center" wrapText="1"/>
    </xf>
    <xf numFmtId="0" fontId="24" fillId="0" borderId="19" xfId="0" applyFont="1" applyBorder="1" applyAlignment="1">
      <alignment vertical="center" wrapText="1"/>
    </xf>
    <xf numFmtId="0" fontId="25" fillId="0" borderId="23" xfId="0" applyFont="1" applyBorder="1" applyAlignment="1">
      <alignment vertical="center" wrapText="1"/>
    </xf>
    <xf numFmtId="0" fontId="25" fillId="0" borderId="21" xfId="0" applyFont="1" applyBorder="1" applyAlignment="1">
      <alignment vertical="center" wrapText="1"/>
    </xf>
    <xf numFmtId="0" fontId="25" fillId="0" borderId="19" xfId="0" applyFont="1" applyBorder="1" applyAlignment="1">
      <alignment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 customBuiltin="1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8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4" tint="-0.499984740745262"/>
      </font>
      <fill>
        <patternFill>
          <bgColor theme="4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DCDC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127"/>
  <sheetViews>
    <sheetView zoomScale="115" workbookViewId="0">
      <selection activeCell="K15" sqref="K15"/>
    </sheetView>
  </sheetViews>
  <sheetFormatPr baseColWidth="10" defaultRowHeight="13" x14ac:dyDescent="0.15"/>
  <cols>
    <col min="2" max="2" width="13.83203125" customWidth="1"/>
    <col min="3" max="4" width="20" customWidth="1"/>
    <col min="5" max="5" width="16.83203125" customWidth="1"/>
    <col min="6" max="6" width="8.6640625" customWidth="1"/>
    <col min="7" max="7" width="16.6640625" customWidth="1"/>
    <col min="8" max="8" width="11.1640625" customWidth="1"/>
    <col min="9" max="9" width="12.33203125" customWidth="1"/>
    <col min="10" max="13" width="20" customWidth="1"/>
  </cols>
  <sheetData>
    <row r="1" spans="1:13" ht="13" customHeight="1" x14ac:dyDescent="0.15">
      <c r="A1" s="34" t="s">
        <v>242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260</v>
      </c>
      <c r="H1" s="1" t="s">
        <v>5</v>
      </c>
      <c r="I1" s="1" t="s">
        <v>6</v>
      </c>
      <c r="J1" s="1" t="s">
        <v>210</v>
      </c>
      <c r="K1" s="1" t="s">
        <v>209</v>
      </c>
      <c r="L1" s="1" t="s">
        <v>7</v>
      </c>
      <c r="M1" s="1" t="s">
        <v>8</v>
      </c>
    </row>
    <row r="2" spans="1:13" ht="13" customHeight="1" x14ac:dyDescent="0.15">
      <c r="A2" s="7">
        <v>0</v>
      </c>
      <c r="B2" s="32" t="s">
        <v>243</v>
      </c>
      <c r="C2" s="7" t="s">
        <v>10</v>
      </c>
      <c r="D2" s="7" t="s">
        <v>11</v>
      </c>
      <c r="E2" s="7">
        <v>175.3</v>
      </c>
      <c r="F2" s="7" t="s">
        <v>12</v>
      </c>
      <c r="G2" s="8">
        <f t="shared" ref="G2:G33" si="0">750/E2</f>
        <v>4.2783799201369082</v>
      </c>
      <c r="H2" s="7">
        <v>2.14</v>
      </c>
      <c r="I2" s="7">
        <v>0.62</v>
      </c>
      <c r="J2" s="16">
        <f>IF(G2&gt;=6, 6, G2)</f>
        <v>4.2783799201369082</v>
      </c>
      <c r="K2" s="16">
        <f t="shared" ref="K2:K33" si="1">6-J2</f>
        <v>1.7216200798630918</v>
      </c>
      <c r="L2" s="7" t="s">
        <v>13</v>
      </c>
      <c r="M2" s="7">
        <v>40</v>
      </c>
    </row>
    <row r="3" spans="1:13" s="11" customFormat="1" ht="13" customHeight="1" x14ac:dyDescent="0.15">
      <c r="A3" s="5">
        <v>1</v>
      </c>
      <c r="B3" s="21" t="s">
        <v>244</v>
      </c>
      <c r="C3" s="9" t="s">
        <v>10</v>
      </c>
      <c r="D3" s="9" t="s">
        <v>15</v>
      </c>
      <c r="E3" s="9">
        <v>4</v>
      </c>
      <c r="F3" s="9" t="s">
        <v>12</v>
      </c>
      <c r="G3" s="10">
        <f t="shared" si="0"/>
        <v>187.5</v>
      </c>
      <c r="H3" s="9">
        <v>1.27</v>
      </c>
      <c r="I3" s="9">
        <v>0.15</v>
      </c>
      <c r="J3" s="13">
        <f t="shared" ref="J2:J33" si="2">IF(G3&gt;=6, 6, G3)</f>
        <v>6</v>
      </c>
      <c r="K3" s="13">
        <f t="shared" si="1"/>
        <v>0</v>
      </c>
      <c r="L3" s="9" t="s">
        <v>13</v>
      </c>
      <c r="M3" s="9">
        <v>40</v>
      </c>
    </row>
    <row r="4" spans="1:13" ht="13" customHeight="1" x14ac:dyDescent="0.15">
      <c r="A4">
        <v>2</v>
      </c>
      <c r="B4" s="4" t="s">
        <v>245</v>
      </c>
      <c r="C4" t="s">
        <v>10</v>
      </c>
      <c r="D4" t="s">
        <v>17</v>
      </c>
      <c r="E4">
        <v>363.5</v>
      </c>
      <c r="F4" t="s">
        <v>12</v>
      </c>
      <c r="G4" s="2">
        <f t="shared" si="0"/>
        <v>2.0632737276478679</v>
      </c>
      <c r="H4">
        <v>2.12</v>
      </c>
      <c r="I4">
        <v>2.11</v>
      </c>
      <c r="J4" s="15">
        <f t="shared" si="2"/>
        <v>2.0632737276478679</v>
      </c>
      <c r="K4" s="15">
        <f t="shared" si="1"/>
        <v>3.9367262723521321</v>
      </c>
      <c r="L4" t="s">
        <v>13</v>
      </c>
      <c r="M4">
        <v>40</v>
      </c>
    </row>
    <row r="5" spans="1:13" ht="13" customHeight="1" x14ac:dyDescent="0.15">
      <c r="A5">
        <v>3</v>
      </c>
      <c r="B5" s="32" t="s">
        <v>246</v>
      </c>
      <c r="C5" s="7" t="s">
        <v>10</v>
      </c>
      <c r="D5" s="7" t="s">
        <v>19</v>
      </c>
      <c r="E5" s="7">
        <v>151.5</v>
      </c>
      <c r="F5" s="7" t="s">
        <v>12</v>
      </c>
      <c r="G5" s="8">
        <f t="shared" si="0"/>
        <v>4.9504950495049505</v>
      </c>
      <c r="H5" s="7">
        <v>2.16</v>
      </c>
      <c r="I5" s="7">
        <v>1.46</v>
      </c>
      <c r="J5" s="16">
        <f t="shared" si="2"/>
        <v>4.9504950495049505</v>
      </c>
      <c r="K5" s="16">
        <f t="shared" si="1"/>
        <v>1.0495049504950495</v>
      </c>
      <c r="L5" s="7" t="s">
        <v>13</v>
      </c>
      <c r="M5" s="7">
        <v>40</v>
      </c>
    </row>
    <row r="6" spans="1:13" ht="13" customHeight="1" x14ac:dyDescent="0.15">
      <c r="A6">
        <v>4</v>
      </c>
      <c r="B6" s="4" t="s">
        <v>252</v>
      </c>
      <c r="C6" t="s">
        <v>10</v>
      </c>
      <c r="D6" t="s">
        <v>21</v>
      </c>
      <c r="E6">
        <v>383.5</v>
      </c>
      <c r="F6" t="s">
        <v>12</v>
      </c>
      <c r="G6" s="2">
        <f t="shared" si="0"/>
        <v>1.955671447196871</v>
      </c>
      <c r="H6">
        <v>1.67</v>
      </c>
      <c r="I6">
        <v>1.93</v>
      </c>
      <c r="J6" s="15">
        <f t="shared" si="2"/>
        <v>1.955671447196871</v>
      </c>
      <c r="K6" s="15">
        <f t="shared" si="1"/>
        <v>4.0443285528031288</v>
      </c>
      <c r="L6" t="s">
        <v>13</v>
      </c>
      <c r="M6">
        <v>40</v>
      </c>
    </row>
    <row r="7" spans="1:13" ht="13" customHeight="1" x14ac:dyDescent="0.15">
      <c r="A7">
        <v>5</v>
      </c>
      <c r="B7" s="4" t="s">
        <v>251</v>
      </c>
      <c r="C7" t="s">
        <v>10</v>
      </c>
      <c r="D7" t="s">
        <v>23</v>
      </c>
      <c r="E7">
        <v>391.8</v>
      </c>
      <c r="F7" t="s">
        <v>12</v>
      </c>
      <c r="G7" s="2">
        <f t="shared" si="0"/>
        <v>1.9142419601837672</v>
      </c>
      <c r="H7">
        <v>1.83</v>
      </c>
      <c r="I7">
        <v>1.17</v>
      </c>
      <c r="J7" s="15">
        <f t="shared" si="2"/>
        <v>1.9142419601837672</v>
      </c>
      <c r="K7" s="15">
        <f t="shared" si="1"/>
        <v>4.0857580398162323</v>
      </c>
      <c r="L7" t="s">
        <v>13</v>
      </c>
      <c r="M7">
        <v>40</v>
      </c>
    </row>
    <row r="8" spans="1:13" ht="13" customHeight="1" x14ac:dyDescent="0.15">
      <c r="A8">
        <v>6</v>
      </c>
      <c r="B8" s="4" t="s">
        <v>250</v>
      </c>
      <c r="C8" t="s">
        <v>10</v>
      </c>
      <c r="D8" t="s">
        <v>25</v>
      </c>
      <c r="E8">
        <v>151.1</v>
      </c>
      <c r="F8" t="s">
        <v>12</v>
      </c>
      <c r="G8" s="2">
        <f t="shared" si="0"/>
        <v>4.9636002647253479</v>
      </c>
      <c r="H8">
        <v>2.15</v>
      </c>
      <c r="I8">
        <v>0.87</v>
      </c>
      <c r="J8" s="15">
        <f t="shared" si="2"/>
        <v>4.9636002647253479</v>
      </c>
      <c r="K8" s="15">
        <f t="shared" si="1"/>
        <v>1.0363997352746521</v>
      </c>
      <c r="L8" t="s">
        <v>13</v>
      </c>
      <c r="M8">
        <v>40</v>
      </c>
    </row>
    <row r="9" spans="1:13" ht="13" customHeight="1" x14ac:dyDescent="0.15">
      <c r="A9">
        <v>7</v>
      </c>
      <c r="B9" s="4" t="s">
        <v>249</v>
      </c>
      <c r="C9" t="s">
        <v>10</v>
      </c>
      <c r="D9" t="s">
        <v>27</v>
      </c>
      <c r="E9">
        <v>81.099999999999994</v>
      </c>
      <c r="F9" t="s">
        <v>12</v>
      </c>
      <c r="G9" s="2">
        <f t="shared" si="0"/>
        <v>9.2478421701602969</v>
      </c>
      <c r="H9">
        <v>1.99</v>
      </c>
      <c r="I9">
        <v>0.76</v>
      </c>
      <c r="J9" s="15">
        <f t="shared" si="2"/>
        <v>6</v>
      </c>
      <c r="K9" s="15">
        <f t="shared" si="1"/>
        <v>0</v>
      </c>
      <c r="L9" t="s">
        <v>13</v>
      </c>
      <c r="M9">
        <v>40</v>
      </c>
    </row>
    <row r="10" spans="1:13" ht="13" customHeight="1" x14ac:dyDescent="0.15">
      <c r="A10">
        <v>8</v>
      </c>
      <c r="B10" s="4" t="s">
        <v>248</v>
      </c>
      <c r="C10" t="s">
        <v>10</v>
      </c>
      <c r="D10" t="s">
        <v>29</v>
      </c>
      <c r="E10">
        <v>320.39999999999998</v>
      </c>
      <c r="F10" t="s">
        <v>12</v>
      </c>
      <c r="G10" s="2">
        <f t="shared" si="0"/>
        <v>2.3408239700374533</v>
      </c>
      <c r="H10">
        <v>2.12</v>
      </c>
      <c r="I10">
        <v>1.77</v>
      </c>
      <c r="J10" s="15">
        <f t="shared" si="2"/>
        <v>2.3408239700374533</v>
      </c>
      <c r="K10" s="15">
        <f t="shared" si="1"/>
        <v>3.6591760299625467</v>
      </c>
      <c r="L10" t="s">
        <v>13</v>
      </c>
      <c r="M10">
        <v>40</v>
      </c>
    </row>
    <row r="11" spans="1:13" ht="13" customHeight="1" x14ac:dyDescent="0.15">
      <c r="A11">
        <v>9</v>
      </c>
      <c r="B11" s="4" t="s">
        <v>247</v>
      </c>
      <c r="C11" t="s">
        <v>10</v>
      </c>
      <c r="D11" t="s">
        <v>31</v>
      </c>
      <c r="E11">
        <v>197.2</v>
      </c>
      <c r="F11" t="s">
        <v>12</v>
      </c>
      <c r="G11" s="2">
        <f t="shared" si="0"/>
        <v>3.8032454361054771</v>
      </c>
      <c r="H11">
        <v>2.06</v>
      </c>
      <c r="I11">
        <v>0.97</v>
      </c>
      <c r="J11" s="15">
        <f t="shared" si="2"/>
        <v>3.8032454361054771</v>
      </c>
      <c r="K11" s="15">
        <f t="shared" si="1"/>
        <v>2.1967545638945229</v>
      </c>
      <c r="L11" t="s">
        <v>13</v>
      </c>
      <c r="M11">
        <v>40</v>
      </c>
    </row>
    <row r="12" spans="1:13" ht="13" customHeight="1" x14ac:dyDescent="0.15">
      <c r="A12">
        <v>10</v>
      </c>
      <c r="B12" s="47" t="s">
        <v>253</v>
      </c>
      <c r="C12" t="s">
        <v>10</v>
      </c>
      <c r="D12" t="s">
        <v>33</v>
      </c>
      <c r="E12">
        <v>130.19999999999999</v>
      </c>
      <c r="F12" t="s">
        <v>12</v>
      </c>
      <c r="G12" s="2">
        <f t="shared" si="0"/>
        <v>5.7603686635944706</v>
      </c>
      <c r="H12">
        <v>2.1800000000000002</v>
      </c>
      <c r="I12">
        <v>1.86</v>
      </c>
      <c r="J12" s="15">
        <f t="shared" si="2"/>
        <v>5.7603686635944706</v>
      </c>
      <c r="K12" s="15">
        <f t="shared" si="1"/>
        <v>0.23963133640552936</v>
      </c>
      <c r="L12" t="s">
        <v>13</v>
      </c>
      <c r="M12">
        <v>40</v>
      </c>
    </row>
    <row r="13" spans="1:13" ht="13" customHeight="1" x14ac:dyDescent="0.15">
      <c r="A13">
        <v>11</v>
      </c>
      <c r="B13" s="47" t="s">
        <v>254</v>
      </c>
      <c r="C13" t="s">
        <v>10</v>
      </c>
      <c r="D13" t="s">
        <v>35</v>
      </c>
      <c r="E13">
        <v>362.7</v>
      </c>
      <c r="F13" t="s">
        <v>12</v>
      </c>
      <c r="G13" s="2">
        <f t="shared" si="0"/>
        <v>2.0678246484698097</v>
      </c>
      <c r="H13">
        <v>2.15</v>
      </c>
      <c r="I13">
        <v>0.84</v>
      </c>
      <c r="J13" s="15">
        <f t="shared" si="2"/>
        <v>2.0678246484698097</v>
      </c>
      <c r="K13" s="15">
        <f t="shared" si="1"/>
        <v>3.9321753515301903</v>
      </c>
      <c r="L13" t="s">
        <v>13</v>
      </c>
      <c r="M13">
        <v>40</v>
      </c>
    </row>
    <row r="14" spans="1:13" x14ac:dyDescent="0.15">
      <c r="A14">
        <v>12</v>
      </c>
      <c r="B14" s="11" t="s">
        <v>36</v>
      </c>
      <c r="C14" t="s">
        <v>10</v>
      </c>
      <c r="D14" t="s">
        <v>37</v>
      </c>
      <c r="E14">
        <v>547.9</v>
      </c>
      <c r="F14" t="s">
        <v>12</v>
      </c>
      <c r="G14" s="2">
        <f t="shared" si="0"/>
        <v>1.3688629311918235</v>
      </c>
      <c r="H14">
        <v>2.12</v>
      </c>
      <c r="I14">
        <v>1.1200000000000001</v>
      </c>
      <c r="J14" s="15">
        <f t="shared" si="2"/>
        <v>1.3688629311918235</v>
      </c>
      <c r="K14" s="15">
        <f t="shared" si="1"/>
        <v>4.6311370688081768</v>
      </c>
      <c r="L14" t="s">
        <v>13</v>
      </c>
      <c r="M14">
        <v>40</v>
      </c>
    </row>
    <row r="15" spans="1:13" x14ac:dyDescent="0.15">
      <c r="A15">
        <v>13</v>
      </c>
      <c r="B15" s="11" t="s">
        <v>38</v>
      </c>
      <c r="C15" t="s">
        <v>10</v>
      </c>
      <c r="D15" t="s">
        <v>39</v>
      </c>
      <c r="E15">
        <v>72.5</v>
      </c>
      <c r="F15" t="s">
        <v>12</v>
      </c>
      <c r="G15" s="2">
        <f t="shared" si="0"/>
        <v>10.344827586206897</v>
      </c>
      <c r="H15">
        <v>2.15</v>
      </c>
      <c r="I15">
        <v>0.39</v>
      </c>
      <c r="J15" s="15">
        <f t="shared" si="2"/>
        <v>6</v>
      </c>
      <c r="K15" s="15">
        <f t="shared" si="1"/>
        <v>0</v>
      </c>
      <c r="L15" t="s">
        <v>13</v>
      </c>
      <c r="M15">
        <v>40</v>
      </c>
    </row>
    <row r="16" spans="1:13" x14ac:dyDescent="0.15">
      <c r="A16">
        <v>14</v>
      </c>
      <c r="B16" t="s">
        <v>40</v>
      </c>
      <c r="C16" t="s">
        <v>10</v>
      </c>
      <c r="D16" t="s">
        <v>41</v>
      </c>
      <c r="E16">
        <v>421.8</v>
      </c>
      <c r="F16" t="s">
        <v>12</v>
      </c>
      <c r="G16" s="2">
        <f t="shared" si="0"/>
        <v>1.7780938833570412</v>
      </c>
      <c r="H16">
        <v>2.11</v>
      </c>
      <c r="I16">
        <v>1.36</v>
      </c>
      <c r="J16" s="15">
        <f t="shared" si="2"/>
        <v>1.7780938833570412</v>
      </c>
      <c r="K16" s="15">
        <f t="shared" si="1"/>
        <v>4.221906116642959</v>
      </c>
      <c r="L16" t="s">
        <v>13</v>
      </c>
      <c r="M16">
        <v>40</v>
      </c>
    </row>
    <row r="17" spans="1:13" x14ac:dyDescent="0.15">
      <c r="A17">
        <v>15</v>
      </c>
      <c r="B17" t="s">
        <v>42</v>
      </c>
      <c r="C17" t="s">
        <v>10</v>
      </c>
      <c r="D17" t="s">
        <v>43</v>
      </c>
      <c r="E17">
        <v>212.7</v>
      </c>
      <c r="F17" t="s">
        <v>12</v>
      </c>
      <c r="G17" s="2">
        <f t="shared" si="0"/>
        <v>3.5260930888575461</v>
      </c>
      <c r="H17">
        <v>2.15</v>
      </c>
      <c r="I17">
        <v>0.45</v>
      </c>
      <c r="J17" s="15">
        <f t="shared" si="2"/>
        <v>3.5260930888575461</v>
      </c>
      <c r="K17" s="15">
        <f t="shared" si="1"/>
        <v>2.4739069111424539</v>
      </c>
      <c r="L17" t="s">
        <v>13</v>
      </c>
      <c r="M17">
        <v>40</v>
      </c>
    </row>
    <row r="18" spans="1:13" x14ac:dyDescent="0.15">
      <c r="A18">
        <v>16</v>
      </c>
      <c r="B18" t="s">
        <v>44</v>
      </c>
      <c r="C18" t="s">
        <v>10</v>
      </c>
      <c r="D18" t="s">
        <v>45</v>
      </c>
      <c r="E18">
        <v>327</v>
      </c>
      <c r="F18" t="s">
        <v>12</v>
      </c>
      <c r="G18" s="2">
        <f t="shared" si="0"/>
        <v>2.2935779816513762</v>
      </c>
      <c r="H18">
        <v>2.12</v>
      </c>
      <c r="I18">
        <v>1.29</v>
      </c>
      <c r="J18" s="15">
        <f t="shared" si="2"/>
        <v>2.2935779816513762</v>
      </c>
      <c r="K18" s="15">
        <f t="shared" si="1"/>
        <v>3.7064220183486238</v>
      </c>
      <c r="L18" t="s">
        <v>13</v>
      </c>
      <c r="M18">
        <v>40</v>
      </c>
    </row>
    <row r="19" spans="1:13" x14ac:dyDescent="0.15">
      <c r="A19">
        <v>17</v>
      </c>
      <c r="B19" t="s">
        <v>46</v>
      </c>
      <c r="C19" t="s">
        <v>10</v>
      </c>
      <c r="D19" t="s">
        <v>47</v>
      </c>
      <c r="E19">
        <v>278.5</v>
      </c>
      <c r="F19" t="s">
        <v>12</v>
      </c>
      <c r="G19" s="2">
        <f t="shared" si="0"/>
        <v>2.6929982046678638</v>
      </c>
      <c r="H19">
        <v>2.13</v>
      </c>
      <c r="I19">
        <v>1.68</v>
      </c>
      <c r="J19" s="15">
        <f t="shared" si="2"/>
        <v>2.6929982046678638</v>
      </c>
      <c r="K19" s="15">
        <f t="shared" si="1"/>
        <v>3.3070017953321362</v>
      </c>
      <c r="L19" t="s">
        <v>13</v>
      </c>
      <c r="M19">
        <v>40</v>
      </c>
    </row>
    <row r="20" spans="1:13" x14ac:dyDescent="0.15">
      <c r="A20">
        <v>18</v>
      </c>
      <c r="B20" t="s">
        <v>48</v>
      </c>
      <c r="C20" t="s">
        <v>10</v>
      </c>
      <c r="D20" t="s">
        <v>49</v>
      </c>
      <c r="E20">
        <v>453.3</v>
      </c>
      <c r="F20" t="s">
        <v>12</v>
      </c>
      <c r="G20" s="2">
        <f t="shared" si="0"/>
        <v>1.6545334215751157</v>
      </c>
      <c r="H20">
        <v>2.12</v>
      </c>
      <c r="I20">
        <v>1.94</v>
      </c>
      <c r="J20" s="15">
        <f t="shared" si="2"/>
        <v>1.6545334215751157</v>
      </c>
      <c r="K20" s="15">
        <f t="shared" si="1"/>
        <v>4.345466578424884</v>
      </c>
      <c r="L20" t="s">
        <v>13</v>
      </c>
      <c r="M20">
        <v>40</v>
      </c>
    </row>
    <row r="21" spans="1:13" x14ac:dyDescent="0.15">
      <c r="A21" s="11">
        <v>19</v>
      </c>
      <c r="B21" t="s">
        <v>50</v>
      </c>
      <c r="C21" t="s">
        <v>10</v>
      </c>
      <c r="D21" t="s">
        <v>51</v>
      </c>
      <c r="E21">
        <v>109.6</v>
      </c>
      <c r="F21" t="s">
        <v>12</v>
      </c>
      <c r="G21" s="2">
        <f t="shared" si="0"/>
        <v>6.8430656934306571</v>
      </c>
      <c r="H21">
        <v>2.12</v>
      </c>
      <c r="I21">
        <v>0.76</v>
      </c>
      <c r="J21" s="15">
        <f t="shared" si="2"/>
        <v>6</v>
      </c>
      <c r="K21" s="15">
        <f t="shared" si="1"/>
        <v>0</v>
      </c>
      <c r="L21" t="s">
        <v>13</v>
      </c>
      <c r="M21">
        <v>40</v>
      </c>
    </row>
    <row r="22" spans="1:13" s="31" customFormat="1" x14ac:dyDescent="0.15">
      <c r="A22" s="31">
        <v>20</v>
      </c>
      <c r="B22" s="33" t="s">
        <v>52</v>
      </c>
      <c r="C22" s="31" t="s">
        <v>10</v>
      </c>
      <c r="D22" s="31" t="s">
        <v>53</v>
      </c>
      <c r="E22" s="31">
        <v>24.3</v>
      </c>
      <c r="F22" s="31" t="s">
        <v>12</v>
      </c>
      <c r="G22" s="35">
        <f t="shared" si="0"/>
        <v>30.864197530864196</v>
      </c>
      <c r="H22" s="31">
        <v>1.97</v>
      </c>
      <c r="I22" s="31">
        <v>0.5</v>
      </c>
      <c r="J22" s="36">
        <f t="shared" si="2"/>
        <v>6</v>
      </c>
      <c r="K22" s="36">
        <f t="shared" si="1"/>
        <v>0</v>
      </c>
      <c r="L22" s="31" t="s">
        <v>13</v>
      </c>
      <c r="M22" s="31">
        <v>40</v>
      </c>
    </row>
    <row r="23" spans="1:13" x14ac:dyDescent="0.15">
      <c r="A23">
        <v>21</v>
      </c>
      <c r="B23" t="s">
        <v>54</v>
      </c>
      <c r="C23" t="s">
        <v>10</v>
      </c>
      <c r="D23" t="s">
        <v>55</v>
      </c>
      <c r="E23">
        <v>431.1</v>
      </c>
      <c r="F23" t="s">
        <v>12</v>
      </c>
      <c r="G23" s="2">
        <f t="shared" si="0"/>
        <v>1.7397355601948503</v>
      </c>
      <c r="H23">
        <v>2.11</v>
      </c>
      <c r="I23">
        <v>1.72</v>
      </c>
      <c r="J23" s="15">
        <f t="shared" si="2"/>
        <v>1.7397355601948503</v>
      </c>
      <c r="K23" s="15">
        <f t="shared" si="1"/>
        <v>4.2602644398051499</v>
      </c>
      <c r="L23" t="s">
        <v>13</v>
      </c>
      <c r="M23">
        <v>40</v>
      </c>
    </row>
    <row r="24" spans="1:13" x14ac:dyDescent="0.15">
      <c r="A24">
        <v>22</v>
      </c>
      <c r="B24" t="s">
        <v>56</v>
      </c>
      <c r="C24" t="s">
        <v>10</v>
      </c>
      <c r="D24" t="s">
        <v>57</v>
      </c>
      <c r="E24">
        <v>107</v>
      </c>
      <c r="F24" t="s">
        <v>12</v>
      </c>
      <c r="G24" s="2">
        <f t="shared" si="0"/>
        <v>7.009345794392523</v>
      </c>
      <c r="H24">
        <v>2.15</v>
      </c>
      <c r="I24">
        <v>0.41</v>
      </c>
      <c r="J24" s="15">
        <f t="shared" si="2"/>
        <v>6</v>
      </c>
      <c r="K24" s="15">
        <f t="shared" si="1"/>
        <v>0</v>
      </c>
      <c r="L24" t="s">
        <v>13</v>
      </c>
      <c r="M24">
        <v>40</v>
      </c>
    </row>
    <row r="25" spans="1:13" s="31" customFormat="1" x14ac:dyDescent="0.15">
      <c r="A25" s="31">
        <v>23</v>
      </c>
      <c r="B25" s="33" t="s">
        <v>58</v>
      </c>
      <c r="C25" s="31" t="s">
        <v>10</v>
      </c>
      <c r="D25" s="31" t="s">
        <v>59</v>
      </c>
      <c r="E25" s="31">
        <v>9.6</v>
      </c>
      <c r="F25" s="31" t="s">
        <v>12</v>
      </c>
      <c r="G25" s="35">
        <f t="shared" si="0"/>
        <v>78.125</v>
      </c>
      <c r="H25" s="31">
        <v>2.08</v>
      </c>
      <c r="I25" s="31">
        <v>0.03</v>
      </c>
      <c r="J25" s="36">
        <f t="shared" si="2"/>
        <v>6</v>
      </c>
      <c r="K25" s="36">
        <f t="shared" si="1"/>
        <v>0</v>
      </c>
      <c r="L25" s="31" t="s">
        <v>13</v>
      </c>
      <c r="M25" s="31">
        <v>40</v>
      </c>
    </row>
    <row r="26" spans="1:13" s="31" customFormat="1" x14ac:dyDescent="0.15">
      <c r="A26" s="31">
        <v>24</v>
      </c>
      <c r="B26" s="31" t="s">
        <v>60</v>
      </c>
      <c r="C26" s="31" t="s">
        <v>10</v>
      </c>
      <c r="D26" s="31" t="s">
        <v>61</v>
      </c>
      <c r="E26" s="31">
        <v>20.3</v>
      </c>
      <c r="F26" s="31" t="s">
        <v>12</v>
      </c>
      <c r="G26" s="35">
        <f t="shared" si="0"/>
        <v>36.945812807881772</v>
      </c>
      <c r="H26" s="31">
        <v>1.8</v>
      </c>
      <c r="I26" s="31">
        <v>0.24</v>
      </c>
      <c r="J26" s="36">
        <f t="shared" si="2"/>
        <v>6</v>
      </c>
      <c r="K26" s="36">
        <f t="shared" si="1"/>
        <v>0</v>
      </c>
      <c r="L26" s="31" t="s">
        <v>13</v>
      </c>
      <c r="M26" s="31">
        <v>40</v>
      </c>
    </row>
    <row r="27" spans="1:13" x14ac:dyDescent="0.15">
      <c r="A27" s="11">
        <v>25</v>
      </c>
      <c r="B27" t="s">
        <v>62</v>
      </c>
      <c r="C27" t="s">
        <v>10</v>
      </c>
      <c r="D27" t="s">
        <v>63</v>
      </c>
      <c r="E27">
        <v>134.1</v>
      </c>
      <c r="F27" t="s">
        <v>12</v>
      </c>
      <c r="G27" s="2">
        <f t="shared" si="0"/>
        <v>5.592841163310962</v>
      </c>
      <c r="H27">
        <v>2.06</v>
      </c>
      <c r="I27">
        <v>0.47</v>
      </c>
      <c r="J27" s="15">
        <f t="shared" si="2"/>
        <v>5.592841163310962</v>
      </c>
      <c r="K27" s="15">
        <f t="shared" si="1"/>
        <v>0.40715883668903796</v>
      </c>
      <c r="L27" t="s">
        <v>13</v>
      </c>
      <c r="M27">
        <v>40</v>
      </c>
    </row>
    <row r="28" spans="1:13" s="31" customFormat="1" x14ac:dyDescent="0.15">
      <c r="A28" s="31">
        <v>26</v>
      </c>
      <c r="B28" s="31" t="s">
        <v>64</v>
      </c>
      <c r="C28" s="31" t="s">
        <v>10</v>
      </c>
      <c r="D28" s="31" t="s">
        <v>65</v>
      </c>
      <c r="E28" s="31">
        <v>25.5</v>
      </c>
      <c r="F28" s="31" t="s">
        <v>12</v>
      </c>
      <c r="G28" s="35">
        <f t="shared" si="0"/>
        <v>29.411764705882351</v>
      </c>
      <c r="H28" s="31">
        <v>1.84</v>
      </c>
      <c r="I28" s="31">
        <v>0.3</v>
      </c>
      <c r="J28" s="36">
        <f t="shared" si="2"/>
        <v>6</v>
      </c>
      <c r="K28" s="36">
        <f t="shared" si="1"/>
        <v>0</v>
      </c>
      <c r="L28" s="31" t="s">
        <v>13</v>
      </c>
      <c r="M28" s="31">
        <v>40</v>
      </c>
    </row>
    <row r="29" spans="1:13" x14ac:dyDescent="0.15">
      <c r="A29">
        <v>27</v>
      </c>
      <c r="B29" t="s">
        <v>66</v>
      </c>
      <c r="C29" t="s">
        <v>10</v>
      </c>
      <c r="D29" t="s">
        <v>67</v>
      </c>
      <c r="E29">
        <v>263.89999999999998</v>
      </c>
      <c r="F29" t="s">
        <v>12</v>
      </c>
      <c r="G29" s="2">
        <f t="shared" si="0"/>
        <v>2.8419856006062907</v>
      </c>
      <c r="H29">
        <v>2.11</v>
      </c>
      <c r="I29">
        <v>0.86</v>
      </c>
      <c r="J29" s="15">
        <f t="shared" si="2"/>
        <v>2.8419856006062907</v>
      </c>
      <c r="K29" s="15">
        <f t="shared" si="1"/>
        <v>3.1580143993937093</v>
      </c>
      <c r="L29" t="s">
        <v>13</v>
      </c>
      <c r="M29">
        <v>40</v>
      </c>
    </row>
    <row r="30" spans="1:13" x14ac:dyDescent="0.15">
      <c r="A30">
        <v>28</v>
      </c>
      <c r="B30" t="s">
        <v>68</v>
      </c>
      <c r="C30" t="s">
        <v>10</v>
      </c>
      <c r="D30" t="s">
        <v>69</v>
      </c>
      <c r="E30">
        <v>338</v>
      </c>
      <c r="F30" t="s">
        <v>12</v>
      </c>
      <c r="G30" s="2">
        <f t="shared" si="0"/>
        <v>2.2189349112426036</v>
      </c>
      <c r="H30">
        <v>2.13</v>
      </c>
      <c r="I30">
        <v>1.37</v>
      </c>
      <c r="J30" s="15">
        <f t="shared" si="2"/>
        <v>2.2189349112426036</v>
      </c>
      <c r="K30" s="15">
        <f t="shared" si="1"/>
        <v>3.7810650887573964</v>
      </c>
      <c r="L30" t="s">
        <v>13</v>
      </c>
      <c r="M30">
        <v>40</v>
      </c>
    </row>
    <row r="31" spans="1:13" x14ac:dyDescent="0.15">
      <c r="A31">
        <v>29</v>
      </c>
      <c r="B31" s="11" t="s">
        <v>70</v>
      </c>
      <c r="C31" t="s">
        <v>10</v>
      </c>
      <c r="D31" t="s">
        <v>71</v>
      </c>
      <c r="E31">
        <v>531.79999999999995</v>
      </c>
      <c r="F31" t="s">
        <v>12</v>
      </c>
      <c r="G31" s="2">
        <f t="shared" si="0"/>
        <v>1.4103046257991727</v>
      </c>
      <c r="H31">
        <v>2.12</v>
      </c>
      <c r="I31">
        <v>1.28</v>
      </c>
      <c r="J31" s="15">
        <f t="shared" si="2"/>
        <v>1.4103046257991727</v>
      </c>
      <c r="K31" s="15">
        <f t="shared" si="1"/>
        <v>4.5896953742008275</v>
      </c>
      <c r="L31" t="s">
        <v>13</v>
      </c>
      <c r="M31">
        <v>40</v>
      </c>
    </row>
    <row r="32" spans="1:13" x14ac:dyDescent="0.15">
      <c r="A32">
        <v>30</v>
      </c>
      <c r="B32" s="11" t="s">
        <v>72</v>
      </c>
      <c r="C32" t="s">
        <v>10</v>
      </c>
      <c r="D32" t="s">
        <v>73</v>
      </c>
      <c r="E32">
        <v>145.80000000000001</v>
      </c>
      <c r="F32" t="s">
        <v>12</v>
      </c>
      <c r="G32" s="2">
        <f t="shared" si="0"/>
        <v>5.144032921810699</v>
      </c>
      <c r="H32">
        <v>2.09</v>
      </c>
      <c r="I32">
        <v>0.53</v>
      </c>
      <c r="J32" s="15">
        <f t="shared" si="2"/>
        <v>5.144032921810699</v>
      </c>
      <c r="K32" s="15">
        <f t="shared" si="1"/>
        <v>0.85596707818930096</v>
      </c>
      <c r="L32" t="s">
        <v>13</v>
      </c>
      <c r="M32">
        <v>40</v>
      </c>
    </row>
    <row r="33" spans="1:13" ht="13" customHeight="1" x14ac:dyDescent="0.15">
      <c r="A33">
        <v>31</v>
      </c>
      <c r="B33" s="11" t="s">
        <v>216</v>
      </c>
      <c r="C33" t="s">
        <v>10</v>
      </c>
      <c r="D33" t="s">
        <v>217</v>
      </c>
      <c r="E33">
        <v>174.8</v>
      </c>
      <c r="F33" t="s">
        <v>12</v>
      </c>
      <c r="G33" s="2">
        <f t="shared" si="0"/>
        <v>4.2906178489702516</v>
      </c>
      <c r="H33">
        <v>2.0299999999999998</v>
      </c>
      <c r="I33">
        <v>0.75</v>
      </c>
      <c r="J33" s="15">
        <f t="shared" si="2"/>
        <v>4.2906178489702516</v>
      </c>
      <c r="K33" s="15">
        <f t="shared" si="1"/>
        <v>1.7093821510297484</v>
      </c>
      <c r="L33" t="s">
        <v>13</v>
      </c>
      <c r="M33">
        <v>40</v>
      </c>
    </row>
    <row r="34" spans="1:13" ht="13" customHeight="1" x14ac:dyDescent="0.15">
      <c r="A34">
        <v>32</v>
      </c>
      <c r="B34" s="11" t="s">
        <v>218</v>
      </c>
      <c r="C34" t="s">
        <v>10</v>
      </c>
      <c r="D34" t="s">
        <v>219</v>
      </c>
      <c r="E34">
        <v>202</v>
      </c>
      <c r="F34" t="s">
        <v>12</v>
      </c>
      <c r="G34" s="2">
        <f t="shared" ref="G34:G65" si="3">750/E34</f>
        <v>3.7128712871287131</v>
      </c>
      <c r="H34">
        <v>1.62</v>
      </c>
      <c r="I34">
        <v>0.63</v>
      </c>
      <c r="J34" s="15">
        <f t="shared" ref="J34:J65" si="4">IF(G34&gt;=6, 6, G34)</f>
        <v>3.7128712871287131</v>
      </c>
      <c r="K34" s="15">
        <f t="shared" ref="K34:K65" si="5">6-J34</f>
        <v>2.2871287128712869</v>
      </c>
      <c r="L34" t="s">
        <v>13</v>
      </c>
      <c r="M34">
        <v>40</v>
      </c>
    </row>
    <row r="35" spans="1:13" x14ac:dyDescent="0.15">
      <c r="A35">
        <v>33</v>
      </c>
      <c r="B35" s="11" t="s">
        <v>191</v>
      </c>
      <c r="C35" t="s">
        <v>10</v>
      </c>
      <c r="D35" t="s">
        <v>192</v>
      </c>
      <c r="E35">
        <v>137.80000000000001</v>
      </c>
      <c r="F35" t="s">
        <v>12</v>
      </c>
      <c r="G35" s="2">
        <f t="shared" si="3"/>
        <v>5.4426705370101596</v>
      </c>
      <c r="H35">
        <v>2.12</v>
      </c>
      <c r="I35">
        <v>0.6</v>
      </c>
      <c r="J35" s="15">
        <f t="shared" si="4"/>
        <v>5.4426705370101596</v>
      </c>
      <c r="K35" s="15">
        <f t="shared" si="5"/>
        <v>0.55732946298984043</v>
      </c>
      <c r="L35" t="s">
        <v>13</v>
      </c>
    </row>
    <row r="36" spans="1:13" x14ac:dyDescent="0.15">
      <c r="A36">
        <v>34</v>
      </c>
      <c r="B36" s="11" t="s">
        <v>193</v>
      </c>
      <c r="C36" t="s">
        <v>10</v>
      </c>
      <c r="D36" t="s">
        <v>194</v>
      </c>
      <c r="E36">
        <v>117.7</v>
      </c>
      <c r="F36" t="s">
        <v>12</v>
      </c>
      <c r="G36" s="2">
        <f t="shared" si="3"/>
        <v>6.372132540356839</v>
      </c>
      <c r="H36">
        <v>2.15</v>
      </c>
      <c r="I36">
        <v>0.87</v>
      </c>
      <c r="J36" s="15">
        <f t="shared" si="4"/>
        <v>6</v>
      </c>
      <c r="K36" s="15">
        <f t="shared" si="5"/>
        <v>0</v>
      </c>
      <c r="L36" t="s">
        <v>13</v>
      </c>
    </row>
    <row r="37" spans="1:13" x14ac:dyDescent="0.15">
      <c r="A37">
        <v>35</v>
      </c>
      <c r="B37" s="11" t="s">
        <v>195</v>
      </c>
      <c r="C37" t="s">
        <v>10</v>
      </c>
      <c r="D37" t="s">
        <v>196</v>
      </c>
      <c r="E37">
        <v>137.30000000000001</v>
      </c>
      <c r="F37" t="s">
        <v>12</v>
      </c>
      <c r="G37" s="2">
        <f t="shared" si="3"/>
        <v>5.4624908958485063</v>
      </c>
      <c r="H37">
        <v>2.17</v>
      </c>
      <c r="I37">
        <v>2.0699999999999998</v>
      </c>
      <c r="J37" s="15">
        <f t="shared" si="4"/>
        <v>5.4624908958485063</v>
      </c>
      <c r="K37" s="15">
        <f t="shared" si="5"/>
        <v>0.53750910415149367</v>
      </c>
      <c r="L37" t="s">
        <v>13</v>
      </c>
    </row>
    <row r="38" spans="1:13" ht="13" customHeight="1" x14ac:dyDescent="0.15">
      <c r="A38">
        <v>36</v>
      </c>
      <c r="B38" s="11" t="s">
        <v>220</v>
      </c>
      <c r="C38" t="s">
        <v>10</v>
      </c>
      <c r="D38" t="s">
        <v>221</v>
      </c>
      <c r="E38">
        <v>437</v>
      </c>
      <c r="F38" t="s">
        <v>12</v>
      </c>
      <c r="G38" s="2">
        <f t="shared" si="3"/>
        <v>1.7162471395881007</v>
      </c>
      <c r="H38">
        <v>2.13</v>
      </c>
      <c r="I38">
        <v>1.43</v>
      </c>
      <c r="J38" s="15">
        <f t="shared" si="4"/>
        <v>1.7162471395881007</v>
      </c>
      <c r="K38" s="15">
        <f t="shared" si="5"/>
        <v>4.2837528604118997</v>
      </c>
      <c r="L38" t="s">
        <v>13</v>
      </c>
      <c r="M38">
        <v>40</v>
      </c>
    </row>
    <row r="39" spans="1:13" s="11" customFormat="1" ht="13" customHeight="1" x14ac:dyDescent="0.15">
      <c r="A39" s="11">
        <v>37</v>
      </c>
      <c r="B39" s="11" t="s">
        <v>211</v>
      </c>
      <c r="C39" s="11" t="s">
        <v>10</v>
      </c>
      <c r="D39" s="11" t="s">
        <v>222</v>
      </c>
      <c r="E39" s="11">
        <v>194</v>
      </c>
      <c r="F39" s="11" t="s">
        <v>12</v>
      </c>
      <c r="G39" s="12">
        <f t="shared" si="3"/>
        <v>3.865979381443299</v>
      </c>
      <c r="H39" s="11">
        <v>1.49</v>
      </c>
      <c r="I39" s="11">
        <v>1.1100000000000001</v>
      </c>
      <c r="J39" s="17">
        <f t="shared" si="4"/>
        <v>3.865979381443299</v>
      </c>
      <c r="K39" s="17">
        <f t="shared" si="5"/>
        <v>2.134020618556701</v>
      </c>
      <c r="L39" s="11" t="s">
        <v>13</v>
      </c>
      <c r="M39" s="11">
        <v>40</v>
      </c>
    </row>
    <row r="40" spans="1:13" ht="13" customHeight="1" x14ac:dyDescent="0.15">
      <c r="A40" s="11">
        <v>38</v>
      </c>
      <c r="B40" s="11" t="s">
        <v>212</v>
      </c>
      <c r="C40" s="11" t="s">
        <v>10</v>
      </c>
      <c r="D40" s="11" t="s">
        <v>223</v>
      </c>
      <c r="E40" s="11">
        <v>132.5</v>
      </c>
      <c r="F40" s="11" t="s">
        <v>12</v>
      </c>
      <c r="G40" s="12">
        <f t="shared" si="3"/>
        <v>5.6603773584905657</v>
      </c>
      <c r="H40" s="11">
        <v>1.57</v>
      </c>
      <c r="I40" s="11">
        <v>0.98</v>
      </c>
      <c r="J40" s="17">
        <f t="shared" si="4"/>
        <v>5.6603773584905657</v>
      </c>
      <c r="K40" s="17">
        <f t="shared" si="5"/>
        <v>0.33962264150943433</v>
      </c>
      <c r="L40" s="11" t="s">
        <v>13</v>
      </c>
      <c r="M40" s="11">
        <v>40</v>
      </c>
    </row>
    <row r="41" spans="1:13" ht="13" customHeight="1" x14ac:dyDescent="0.15">
      <c r="A41">
        <v>39</v>
      </c>
      <c r="B41" s="11" t="s">
        <v>224</v>
      </c>
      <c r="C41" t="s">
        <v>10</v>
      </c>
      <c r="D41" t="s">
        <v>225</v>
      </c>
      <c r="E41">
        <v>243.8</v>
      </c>
      <c r="F41" t="s">
        <v>12</v>
      </c>
      <c r="G41" s="2">
        <f t="shared" si="3"/>
        <v>3.0762920426579163</v>
      </c>
      <c r="H41">
        <v>2.08</v>
      </c>
      <c r="I41">
        <v>1.65</v>
      </c>
      <c r="J41" s="15">
        <f t="shared" si="4"/>
        <v>3.0762920426579163</v>
      </c>
      <c r="K41" s="15">
        <f t="shared" si="5"/>
        <v>2.9237079573420837</v>
      </c>
      <c r="L41" t="s">
        <v>13</v>
      </c>
      <c r="M41">
        <v>40</v>
      </c>
    </row>
    <row r="42" spans="1:13" s="11" customFormat="1" ht="13" customHeight="1" x14ac:dyDescent="0.15">
      <c r="A42" s="11">
        <v>40</v>
      </c>
      <c r="B42" s="11" t="s">
        <v>226</v>
      </c>
      <c r="C42" s="11" t="s">
        <v>10</v>
      </c>
      <c r="D42" s="11" t="s">
        <v>227</v>
      </c>
      <c r="E42" s="11">
        <v>290.39999999999998</v>
      </c>
      <c r="F42" s="11" t="s">
        <v>12</v>
      </c>
      <c r="G42" s="12">
        <f t="shared" si="3"/>
        <v>2.5826446280991737</v>
      </c>
      <c r="H42" s="11">
        <v>1.38</v>
      </c>
      <c r="I42" s="11">
        <v>1.3</v>
      </c>
      <c r="J42" s="17">
        <f t="shared" si="4"/>
        <v>2.5826446280991737</v>
      </c>
      <c r="K42" s="17">
        <f t="shared" si="5"/>
        <v>3.4173553719008263</v>
      </c>
      <c r="L42" s="11" t="s">
        <v>13</v>
      </c>
      <c r="M42" s="11">
        <v>40</v>
      </c>
    </row>
    <row r="43" spans="1:13" ht="13" customHeight="1" x14ac:dyDescent="0.15">
      <c r="A43">
        <v>41</v>
      </c>
      <c r="B43" s="11" t="s">
        <v>228</v>
      </c>
      <c r="C43" t="s">
        <v>10</v>
      </c>
      <c r="D43" t="s">
        <v>229</v>
      </c>
      <c r="E43">
        <v>267</v>
      </c>
      <c r="F43" t="s">
        <v>12</v>
      </c>
      <c r="G43" s="2">
        <f t="shared" si="3"/>
        <v>2.808988764044944</v>
      </c>
      <c r="H43">
        <v>1.74</v>
      </c>
      <c r="I43">
        <v>0.47</v>
      </c>
      <c r="J43" s="15">
        <f t="shared" si="4"/>
        <v>2.808988764044944</v>
      </c>
      <c r="K43" s="15">
        <f t="shared" si="5"/>
        <v>3.191011235955056</v>
      </c>
      <c r="L43" t="s">
        <v>13</v>
      </c>
      <c r="M43">
        <v>40</v>
      </c>
    </row>
    <row r="44" spans="1:13" s="11" customFormat="1" ht="13" customHeight="1" x14ac:dyDescent="0.15">
      <c r="A44" s="11">
        <v>42</v>
      </c>
      <c r="B44" s="11" t="s">
        <v>230</v>
      </c>
      <c r="C44" t="s">
        <v>10</v>
      </c>
      <c r="D44" t="s">
        <v>231</v>
      </c>
      <c r="E44">
        <v>119.1</v>
      </c>
      <c r="F44" t="s">
        <v>12</v>
      </c>
      <c r="G44" s="2">
        <f t="shared" si="3"/>
        <v>6.2972292191435768</v>
      </c>
      <c r="H44">
        <v>2.0699999999999998</v>
      </c>
      <c r="I44">
        <v>0.78</v>
      </c>
      <c r="J44" s="15">
        <f t="shared" si="4"/>
        <v>6</v>
      </c>
      <c r="K44" s="15">
        <f t="shared" si="5"/>
        <v>0</v>
      </c>
      <c r="L44" t="s">
        <v>13</v>
      </c>
      <c r="M44">
        <v>40</v>
      </c>
    </row>
    <row r="45" spans="1:13" ht="13" customHeight="1" x14ac:dyDescent="0.15">
      <c r="A45">
        <v>43</v>
      </c>
      <c r="B45" s="11" t="s">
        <v>232</v>
      </c>
      <c r="C45" t="s">
        <v>10</v>
      </c>
      <c r="D45" t="s">
        <v>233</v>
      </c>
      <c r="E45">
        <v>301.60000000000002</v>
      </c>
      <c r="F45" t="s">
        <v>12</v>
      </c>
      <c r="G45" s="2">
        <f t="shared" si="3"/>
        <v>2.4867374005305036</v>
      </c>
      <c r="H45">
        <v>2.09</v>
      </c>
      <c r="I45">
        <v>1.03</v>
      </c>
      <c r="J45" s="15">
        <f t="shared" si="4"/>
        <v>2.4867374005305036</v>
      </c>
      <c r="K45" s="15">
        <f t="shared" si="5"/>
        <v>3.5132625994694964</v>
      </c>
      <c r="L45" t="s">
        <v>13</v>
      </c>
      <c r="M45">
        <v>40</v>
      </c>
    </row>
    <row r="46" spans="1:13" ht="13" customHeight="1" x14ac:dyDescent="0.15">
      <c r="A46">
        <v>44</v>
      </c>
      <c r="B46" s="11" t="s">
        <v>234</v>
      </c>
      <c r="C46" t="s">
        <v>10</v>
      </c>
      <c r="D46" t="s">
        <v>235</v>
      </c>
      <c r="E46">
        <v>611</v>
      </c>
      <c r="F46" t="s">
        <v>12</v>
      </c>
      <c r="G46" s="2">
        <f t="shared" si="3"/>
        <v>1.2274959083469721</v>
      </c>
      <c r="H46">
        <v>2.09</v>
      </c>
      <c r="I46">
        <v>1.27</v>
      </c>
      <c r="J46" s="15">
        <f t="shared" si="4"/>
        <v>1.2274959083469721</v>
      </c>
      <c r="K46" s="15">
        <f t="shared" si="5"/>
        <v>4.7725040916530279</v>
      </c>
      <c r="L46" t="s">
        <v>13</v>
      </c>
      <c r="M46">
        <v>40</v>
      </c>
    </row>
    <row r="47" spans="1:13" ht="13" customHeight="1" x14ac:dyDescent="0.15">
      <c r="A47">
        <v>45</v>
      </c>
      <c r="B47" s="11" t="s">
        <v>236</v>
      </c>
      <c r="C47" t="s">
        <v>10</v>
      </c>
      <c r="D47" t="s">
        <v>237</v>
      </c>
      <c r="E47">
        <v>210.4</v>
      </c>
      <c r="F47" t="s">
        <v>12</v>
      </c>
      <c r="G47" s="2">
        <f t="shared" si="3"/>
        <v>3.5646387832699618</v>
      </c>
      <c r="H47">
        <v>2.11</v>
      </c>
      <c r="I47">
        <v>0.98</v>
      </c>
      <c r="J47" s="15">
        <f t="shared" si="4"/>
        <v>3.5646387832699618</v>
      </c>
      <c r="K47" s="15">
        <f t="shared" si="5"/>
        <v>2.4353612167300382</v>
      </c>
      <c r="L47" t="s">
        <v>13</v>
      </c>
      <c r="M47">
        <v>40</v>
      </c>
    </row>
    <row r="48" spans="1:13" ht="13" customHeight="1" x14ac:dyDescent="0.15">
      <c r="A48">
        <v>46</v>
      </c>
      <c r="B48" s="11" t="s">
        <v>238</v>
      </c>
      <c r="C48" t="s">
        <v>10</v>
      </c>
      <c r="D48" t="s">
        <v>239</v>
      </c>
      <c r="E48">
        <v>441.6</v>
      </c>
      <c r="F48" t="s">
        <v>12</v>
      </c>
      <c r="G48" s="2">
        <f t="shared" si="3"/>
        <v>1.6983695652173911</v>
      </c>
      <c r="H48">
        <v>2.12</v>
      </c>
      <c r="I48">
        <v>1.59</v>
      </c>
      <c r="J48" s="15">
        <f t="shared" si="4"/>
        <v>1.6983695652173911</v>
      </c>
      <c r="K48" s="15">
        <f t="shared" si="5"/>
        <v>4.3016304347826093</v>
      </c>
      <c r="L48" t="s">
        <v>13</v>
      </c>
      <c r="M48">
        <v>40</v>
      </c>
    </row>
    <row r="49" spans="1:13" ht="13" customHeight="1" x14ac:dyDescent="0.15">
      <c r="A49">
        <v>47</v>
      </c>
      <c r="B49" s="11" t="s">
        <v>240</v>
      </c>
      <c r="C49" t="s">
        <v>10</v>
      </c>
      <c r="D49" t="s">
        <v>241</v>
      </c>
      <c r="E49">
        <v>929.4</v>
      </c>
      <c r="F49" t="s">
        <v>12</v>
      </c>
      <c r="G49" s="2">
        <f t="shared" si="3"/>
        <v>0.80697224015493874</v>
      </c>
      <c r="H49">
        <v>2.08</v>
      </c>
      <c r="I49">
        <v>0.92</v>
      </c>
      <c r="J49" s="15">
        <f t="shared" si="4"/>
        <v>0.80697224015493874</v>
      </c>
      <c r="K49" s="15">
        <f t="shared" si="5"/>
        <v>5.1930277598450614</v>
      </c>
      <c r="L49" t="s">
        <v>13</v>
      </c>
      <c r="M49">
        <v>40</v>
      </c>
    </row>
    <row r="50" spans="1:13" x14ac:dyDescent="0.15">
      <c r="A50">
        <v>48</v>
      </c>
      <c r="B50" s="11" t="s">
        <v>74</v>
      </c>
      <c r="C50" t="s">
        <v>10</v>
      </c>
      <c r="D50" t="s">
        <v>75</v>
      </c>
      <c r="E50">
        <v>510.5</v>
      </c>
      <c r="F50" t="s">
        <v>12</v>
      </c>
      <c r="G50" s="2">
        <f t="shared" si="3"/>
        <v>1.4691478942213516</v>
      </c>
      <c r="H50">
        <v>2.16</v>
      </c>
      <c r="I50">
        <v>0.74</v>
      </c>
      <c r="J50" s="15">
        <f t="shared" si="4"/>
        <v>1.4691478942213516</v>
      </c>
      <c r="K50" s="15">
        <f t="shared" si="5"/>
        <v>4.5308521057786484</v>
      </c>
      <c r="L50" t="s">
        <v>13</v>
      </c>
      <c r="M50">
        <v>40</v>
      </c>
    </row>
    <row r="51" spans="1:13" s="5" customFormat="1" x14ac:dyDescent="0.15">
      <c r="A51">
        <v>49</v>
      </c>
      <c r="B51" s="11" t="s">
        <v>76</v>
      </c>
      <c r="C51" t="s">
        <v>10</v>
      </c>
      <c r="D51" t="s">
        <v>77</v>
      </c>
      <c r="E51">
        <v>437.7</v>
      </c>
      <c r="F51" t="s">
        <v>12</v>
      </c>
      <c r="G51" s="2">
        <f t="shared" si="3"/>
        <v>1.7135023989033584</v>
      </c>
      <c r="H51">
        <v>2.15</v>
      </c>
      <c r="I51">
        <v>1.71</v>
      </c>
      <c r="J51" s="15">
        <f t="shared" si="4"/>
        <v>1.7135023989033584</v>
      </c>
      <c r="K51" s="15">
        <f t="shared" si="5"/>
        <v>4.2864976010966416</v>
      </c>
      <c r="L51" t="s">
        <v>13</v>
      </c>
      <c r="M51">
        <v>40</v>
      </c>
    </row>
    <row r="52" spans="1:13" x14ac:dyDescent="0.15">
      <c r="A52">
        <v>50</v>
      </c>
      <c r="B52" s="11" t="s">
        <v>78</v>
      </c>
      <c r="C52" t="s">
        <v>10</v>
      </c>
      <c r="D52" t="s">
        <v>79</v>
      </c>
      <c r="E52">
        <v>545.4</v>
      </c>
      <c r="F52" t="s">
        <v>12</v>
      </c>
      <c r="G52" s="2">
        <f t="shared" si="3"/>
        <v>1.3751375137513753</v>
      </c>
      <c r="H52">
        <v>2.04</v>
      </c>
      <c r="I52">
        <v>1.33</v>
      </c>
      <c r="J52" s="15">
        <f t="shared" si="4"/>
        <v>1.3751375137513753</v>
      </c>
      <c r="K52" s="15">
        <f t="shared" si="5"/>
        <v>4.6248624862486247</v>
      </c>
      <c r="L52" t="s">
        <v>13</v>
      </c>
      <c r="M52">
        <v>40</v>
      </c>
    </row>
    <row r="53" spans="1:13" x14ac:dyDescent="0.15">
      <c r="A53">
        <v>51</v>
      </c>
      <c r="B53" s="11" t="s">
        <v>80</v>
      </c>
      <c r="C53" t="s">
        <v>10</v>
      </c>
      <c r="D53" t="s">
        <v>81</v>
      </c>
      <c r="E53">
        <v>370.7</v>
      </c>
      <c r="F53" t="s">
        <v>12</v>
      </c>
      <c r="G53" s="2">
        <f t="shared" si="3"/>
        <v>2.0231993525762073</v>
      </c>
      <c r="H53">
        <v>2.08</v>
      </c>
      <c r="I53">
        <v>1.47</v>
      </c>
      <c r="J53" s="15">
        <f t="shared" si="4"/>
        <v>2.0231993525762073</v>
      </c>
      <c r="K53" s="15">
        <f t="shared" si="5"/>
        <v>3.9768006474237927</v>
      </c>
      <c r="L53" t="s">
        <v>13</v>
      </c>
      <c r="M53">
        <v>40</v>
      </c>
    </row>
    <row r="54" spans="1:13" x14ac:dyDescent="0.15">
      <c r="A54">
        <v>52</v>
      </c>
      <c r="B54" s="11" t="s">
        <v>82</v>
      </c>
      <c r="C54" t="s">
        <v>10</v>
      </c>
      <c r="D54" t="s">
        <v>83</v>
      </c>
      <c r="E54">
        <v>412.4</v>
      </c>
      <c r="F54" t="s">
        <v>12</v>
      </c>
      <c r="G54" s="2">
        <f t="shared" si="3"/>
        <v>1.8186226964112513</v>
      </c>
      <c r="H54">
        <v>1.87</v>
      </c>
      <c r="I54">
        <v>1.86</v>
      </c>
      <c r="J54" s="15">
        <f t="shared" si="4"/>
        <v>1.8186226964112513</v>
      </c>
      <c r="K54" s="15">
        <f t="shared" si="5"/>
        <v>4.1813773035887483</v>
      </c>
      <c r="L54" t="s">
        <v>13</v>
      </c>
      <c r="M54">
        <v>40</v>
      </c>
    </row>
    <row r="55" spans="1:13" x14ac:dyDescent="0.15">
      <c r="A55">
        <v>53</v>
      </c>
      <c r="B55" s="11" t="s">
        <v>84</v>
      </c>
      <c r="C55" t="s">
        <v>10</v>
      </c>
      <c r="D55" t="s">
        <v>85</v>
      </c>
      <c r="E55">
        <v>376.1</v>
      </c>
      <c r="F55" t="s">
        <v>12</v>
      </c>
      <c r="G55" s="2">
        <f t="shared" si="3"/>
        <v>1.9941504918904545</v>
      </c>
      <c r="H55">
        <v>1.78</v>
      </c>
      <c r="I55">
        <v>0.85</v>
      </c>
      <c r="J55" s="15">
        <f t="shared" si="4"/>
        <v>1.9941504918904545</v>
      </c>
      <c r="K55" s="15">
        <f t="shared" si="5"/>
        <v>4.0058495081095451</v>
      </c>
      <c r="L55" t="s">
        <v>13</v>
      </c>
      <c r="M55">
        <v>40</v>
      </c>
    </row>
    <row r="56" spans="1:13" x14ac:dyDescent="0.15">
      <c r="A56" s="11">
        <v>54</v>
      </c>
      <c r="B56" s="11" t="s">
        <v>86</v>
      </c>
      <c r="C56" s="11" t="s">
        <v>10</v>
      </c>
      <c r="D56" s="11" t="s">
        <v>87</v>
      </c>
      <c r="E56" s="11">
        <v>281</v>
      </c>
      <c r="F56" s="11" t="s">
        <v>12</v>
      </c>
      <c r="G56" s="12">
        <f t="shared" si="3"/>
        <v>2.6690391459074734</v>
      </c>
      <c r="H56" s="11">
        <v>1.59</v>
      </c>
      <c r="I56" s="11">
        <v>2.14</v>
      </c>
      <c r="J56" s="17">
        <f t="shared" si="4"/>
        <v>2.6690391459074734</v>
      </c>
      <c r="K56" s="17">
        <f t="shared" si="5"/>
        <v>3.3309608540925266</v>
      </c>
      <c r="L56" s="11" t="s">
        <v>13</v>
      </c>
      <c r="M56" s="11">
        <v>40</v>
      </c>
    </row>
    <row r="57" spans="1:13" x14ac:dyDescent="0.15">
      <c r="A57">
        <v>55</v>
      </c>
      <c r="B57" s="11" t="s">
        <v>88</v>
      </c>
      <c r="C57" t="s">
        <v>10</v>
      </c>
      <c r="D57" t="s">
        <v>89</v>
      </c>
      <c r="E57">
        <v>457.1</v>
      </c>
      <c r="F57" t="s">
        <v>12</v>
      </c>
      <c r="G57" s="2">
        <f t="shared" si="3"/>
        <v>1.6407788230146576</v>
      </c>
      <c r="H57">
        <v>2</v>
      </c>
      <c r="I57">
        <v>1.28</v>
      </c>
      <c r="J57" s="15">
        <f t="shared" si="4"/>
        <v>1.6407788230146576</v>
      </c>
      <c r="K57" s="15">
        <f t="shared" si="5"/>
        <v>4.3592211769853426</v>
      </c>
      <c r="L57" t="s">
        <v>13</v>
      </c>
      <c r="M57">
        <v>40</v>
      </c>
    </row>
    <row r="58" spans="1:13" x14ac:dyDescent="0.15">
      <c r="A58">
        <v>56</v>
      </c>
      <c r="B58" s="11" t="s">
        <v>90</v>
      </c>
      <c r="C58" t="s">
        <v>10</v>
      </c>
      <c r="D58" t="s">
        <v>91</v>
      </c>
      <c r="E58">
        <v>520</v>
      </c>
      <c r="F58" t="s">
        <v>12</v>
      </c>
      <c r="G58" s="2">
        <f t="shared" si="3"/>
        <v>1.4423076923076923</v>
      </c>
      <c r="H58">
        <v>2.12</v>
      </c>
      <c r="I58">
        <v>1.23</v>
      </c>
      <c r="J58" s="15">
        <f t="shared" si="4"/>
        <v>1.4423076923076923</v>
      </c>
      <c r="K58" s="15">
        <f t="shared" si="5"/>
        <v>4.5576923076923075</v>
      </c>
      <c r="L58" t="s">
        <v>13</v>
      </c>
      <c r="M58">
        <v>40</v>
      </c>
    </row>
    <row r="59" spans="1:13" x14ac:dyDescent="0.15">
      <c r="A59">
        <v>57</v>
      </c>
      <c r="B59" s="11" t="s">
        <v>92</v>
      </c>
      <c r="C59" t="s">
        <v>10</v>
      </c>
      <c r="D59" t="s">
        <v>93</v>
      </c>
      <c r="E59">
        <v>321.60000000000002</v>
      </c>
      <c r="F59" t="s">
        <v>12</v>
      </c>
      <c r="G59" s="2">
        <f t="shared" si="3"/>
        <v>2.3320895522388057</v>
      </c>
      <c r="H59">
        <v>1.99</v>
      </c>
      <c r="I59">
        <v>0.84</v>
      </c>
      <c r="J59" s="15">
        <f t="shared" si="4"/>
        <v>2.3320895522388057</v>
      </c>
      <c r="K59" s="15">
        <f t="shared" si="5"/>
        <v>3.6679104477611943</v>
      </c>
      <c r="L59" t="s">
        <v>13</v>
      </c>
      <c r="M59">
        <v>40</v>
      </c>
    </row>
    <row r="60" spans="1:13" x14ac:dyDescent="0.15">
      <c r="A60">
        <v>58</v>
      </c>
      <c r="B60" s="11" t="s">
        <v>94</v>
      </c>
      <c r="C60" t="s">
        <v>10</v>
      </c>
      <c r="D60" t="s">
        <v>95</v>
      </c>
      <c r="E60">
        <v>436.9</v>
      </c>
      <c r="F60" t="s">
        <v>12</v>
      </c>
      <c r="G60" s="2">
        <f t="shared" si="3"/>
        <v>1.7166399633783476</v>
      </c>
      <c r="H60">
        <v>1.69</v>
      </c>
      <c r="I60">
        <v>1.54</v>
      </c>
      <c r="J60" s="15">
        <f t="shared" si="4"/>
        <v>1.7166399633783476</v>
      </c>
      <c r="K60" s="15">
        <f t="shared" si="5"/>
        <v>4.2833600366216524</v>
      </c>
      <c r="L60" t="s">
        <v>13</v>
      </c>
      <c r="M60">
        <v>40</v>
      </c>
    </row>
    <row r="61" spans="1:13" x14ac:dyDescent="0.15">
      <c r="A61">
        <v>59</v>
      </c>
      <c r="B61" s="11" t="s">
        <v>96</v>
      </c>
      <c r="C61" t="s">
        <v>10</v>
      </c>
      <c r="D61" t="s">
        <v>97</v>
      </c>
      <c r="E61">
        <v>798.9</v>
      </c>
      <c r="F61" t="s">
        <v>12</v>
      </c>
      <c r="G61" s="2">
        <f t="shared" si="3"/>
        <v>0.93879083740142699</v>
      </c>
      <c r="H61">
        <v>2.0299999999999998</v>
      </c>
      <c r="I61">
        <v>2.2200000000000002</v>
      </c>
      <c r="J61" s="15">
        <f t="shared" si="4"/>
        <v>0.93879083740142699</v>
      </c>
      <c r="K61" s="15">
        <f t="shared" si="5"/>
        <v>5.0612091625985727</v>
      </c>
      <c r="L61" t="s">
        <v>13</v>
      </c>
      <c r="M61">
        <v>40</v>
      </c>
    </row>
    <row r="62" spans="1:13" s="11" customFormat="1" x14ac:dyDescent="0.15">
      <c r="A62" s="11">
        <v>60</v>
      </c>
      <c r="B62" s="11" t="s">
        <v>98</v>
      </c>
      <c r="C62" s="11" t="s">
        <v>10</v>
      </c>
      <c r="D62" s="11" t="s">
        <v>99</v>
      </c>
      <c r="E62" s="11">
        <v>314.5</v>
      </c>
      <c r="F62" s="11" t="s">
        <v>12</v>
      </c>
      <c r="G62" s="12">
        <f t="shared" si="3"/>
        <v>2.3847376788553261</v>
      </c>
      <c r="H62" s="11">
        <v>1.51</v>
      </c>
      <c r="I62" s="11">
        <v>1.43</v>
      </c>
      <c r="J62" s="17">
        <f t="shared" si="4"/>
        <v>2.3847376788553261</v>
      </c>
      <c r="K62" s="17">
        <f t="shared" si="5"/>
        <v>3.6152623211446739</v>
      </c>
      <c r="L62" s="11" t="s">
        <v>13</v>
      </c>
      <c r="M62" s="11">
        <v>40</v>
      </c>
    </row>
    <row r="63" spans="1:13" x14ac:dyDescent="0.15">
      <c r="A63">
        <v>61</v>
      </c>
      <c r="B63" s="11" t="s">
        <v>100</v>
      </c>
      <c r="C63" t="s">
        <v>10</v>
      </c>
      <c r="D63" t="s">
        <v>101</v>
      </c>
      <c r="E63">
        <v>132</v>
      </c>
      <c r="F63" t="s">
        <v>12</v>
      </c>
      <c r="G63" s="2">
        <f t="shared" si="3"/>
        <v>5.6818181818181817</v>
      </c>
      <c r="H63">
        <v>2.16</v>
      </c>
      <c r="I63">
        <v>0.75</v>
      </c>
      <c r="J63" s="15">
        <f t="shared" si="4"/>
        <v>5.6818181818181817</v>
      </c>
      <c r="K63" s="15">
        <f t="shared" si="5"/>
        <v>0.31818181818181834</v>
      </c>
      <c r="L63" t="s">
        <v>13</v>
      </c>
      <c r="M63">
        <v>40</v>
      </c>
    </row>
    <row r="64" spans="1:13" s="5" customFormat="1" x14ac:dyDescent="0.15">
      <c r="A64">
        <v>62</v>
      </c>
      <c r="B64" s="11" t="s">
        <v>102</v>
      </c>
      <c r="C64" t="s">
        <v>10</v>
      </c>
      <c r="D64" t="s">
        <v>213</v>
      </c>
      <c r="E64">
        <v>326.89999999999998</v>
      </c>
      <c r="F64" t="s">
        <v>12</v>
      </c>
      <c r="G64" s="2">
        <f t="shared" si="3"/>
        <v>2.294279596206791</v>
      </c>
      <c r="H64">
        <v>1.68</v>
      </c>
      <c r="I64">
        <v>2.46</v>
      </c>
      <c r="J64" s="15">
        <f t="shared" si="4"/>
        <v>2.294279596206791</v>
      </c>
      <c r="K64" s="15">
        <f t="shared" si="5"/>
        <v>3.705720403793209</v>
      </c>
      <c r="L64" t="s">
        <v>13</v>
      </c>
      <c r="M64">
        <v>40</v>
      </c>
    </row>
    <row r="65" spans="1:13" x14ac:dyDescent="0.15">
      <c r="A65">
        <v>63</v>
      </c>
      <c r="B65" s="11" t="s">
        <v>103</v>
      </c>
      <c r="C65" t="s">
        <v>10</v>
      </c>
      <c r="D65" t="s">
        <v>104</v>
      </c>
      <c r="E65">
        <v>556.5</v>
      </c>
      <c r="F65" t="s">
        <v>12</v>
      </c>
      <c r="G65" s="2">
        <f t="shared" si="3"/>
        <v>1.3477088948787062</v>
      </c>
      <c r="H65">
        <v>1.73</v>
      </c>
      <c r="I65">
        <v>2.09</v>
      </c>
      <c r="J65" s="15">
        <f t="shared" si="4"/>
        <v>1.3477088948787062</v>
      </c>
      <c r="K65" s="15">
        <f t="shared" si="5"/>
        <v>4.6522911051212938</v>
      </c>
      <c r="L65" t="s">
        <v>13</v>
      </c>
      <c r="M65">
        <v>40</v>
      </c>
    </row>
    <row r="66" spans="1:13" x14ac:dyDescent="0.15">
      <c r="A66">
        <v>64</v>
      </c>
      <c r="B66" s="11" t="s">
        <v>105</v>
      </c>
      <c r="C66" t="s">
        <v>10</v>
      </c>
      <c r="D66" t="s">
        <v>106</v>
      </c>
      <c r="E66">
        <v>725</v>
      </c>
      <c r="F66" t="s">
        <v>12</v>
      </c>
      <c r="G66" s="2">
        <f t="shared" ref="G66:G97" si="6">750/E66</f>
        <v>1.0344827586206897</v>
      </c>
      <c r="H66">
        <v>1.88</v>
      </c>
      <c r="I66">
        <v>1.89</v>
      </c>
      <c r="J66" s="15">
        <f t="shared" ref="J66:J97" si="7">IF(G66&gt;=6, 6, G66)</f>
        <v>1.0344827586206897</v>
      </c>
      <c r="K66" s="15">
        <f t="shared" ref="K66:K97" si="8">6-J66</f>
        <v>4.9655172413793105</v>
      </c>
      <c r="L66" t="s">
        <v>13</v>
      </c>
      <c r="M66">
        <v>40</v>
      </c>
    </row>
    <row r="67" spans="1:13" x14ac:dyDescent="0.15">
      <c r="A67">
        <v>65</v>
      </c>
      <c r="B67" s="11" t="s">
        <v>107</v>
      </c>
      <c r="C67" t="s">
        <v>10</v>
      </c>
      <c r="D67" t="s">
        <v>108</v>
      </c>
      <c r="E67">
        <v>492.4</v>
      </c>
      <c r="F67" t="s">
        <v>12</v>
      </c>
      <c r="G67" s="2">
        <f t="shared" si="6"/>
        <v>1.5231519090170593</v>
      </c>
      <c r="H67">
        <v>1.85</v>
      </c>
      <c r="I67">
        <v>1.17</v>
      </c>
      <c r="J67" s="15">
        <f t="shared" si="7"/>
        <v>1.5231519090170593</v>
      </c>
      <c r="K67" s="15">
        <f t="shared" si="8"/>
        <v>4.4768480909829407</v>
      </c>
      <c r="L67" t="s">
        <v>13</v>
      </c>
      <c r="M67">
        <v>40</v>
      </c>
    </row>
    <row r="68" spans="1:13" x14ac:dyDescent="0.15">
      <c r="A68">
        <v>66</v>
      </c>
      <c r="B68" s="7" t="s">
        <v>109</v>
      </c>
      <c r="C68" s="7" t="s">
        <v>10</v>
      </c>
      <c r="D68" s="7" t="s">
        <v>198</v>
      </c>
      <c r="E68" s="7">
        <v>124.8</v>
      </c>
      <c r="F68" s="7" t="s">
        <v>12</v>
      </c>
      <c r="G68" s="8">
        <f t="shared" si="6"/>
        <v>6.009615384615385</v>
      </c>
      <c r="H68" s="7">
        <v>2.12</v>
      </c>
      <c r="I68" s="7">
        <v>0.85</v>
      </c>
      <c r="J68" s="16">
        <f t="shared" si="7"/>
        <v>6</v>
      </c>
      <c r="K68" s="16">
        <f t="shared" si="8"/>
        <v>0</v>
      </c>
      <c r="L68" s="7" t="s">
        <v>13</v>
      </c>
      <c r="M68" s="7">
        <v>40</v>
      </c>
    </row>
    <row r="69" spans="1:13" x14ac:dyDescent="0.15">
      <c r="A69">
        <v>67</v>
      </c>
      <c r="B69" t="s">
        <v>110</v>
      </c>
      <c r="C69" t="s">
        <v>10</v>
      </c>
      <c r="D69" t="s">
        <v>197</v>
      </c>
      <c r="E69">
        <v>80.5</v>
      </c>
      <c r="F69" t="s">
        <v>12</v>
      </c>
      <c r="G69" s="2">
        <f t="shared" si="6"/>
        <v>9.316770186335404</v>
      </c>
      <c r="H69">
        <v>2.11</v>
      </c>
      <c r="I69">
        <v>0.66</v>
      </c>
      <c r="J69" s="15">
        <f t="shared" si="7"/>
        <v>6</v>
      </c>
      <c r="K69" s="15">
        <f t="shared" si="8"/>
        <v>0</v>
      </c>
      <c r="L69" t="s">
        <v>13</v>
      </c>
      <c r="M69">
        <v>40</v>
      </c>
    </row>
    <row r="70" spans="1:13" s="5" customFormat="1" x14ac:dyDescent="0.15">
      <c r="A70" s="5">
        <v>68</v>
      </c>
      <c r="B70" s="9" t="s">
        <v>111</v>
      </c>
      <c r="C70" s="9" t="s">
        <v>10</v>
      </c>
      <c r="D70" s="9" t="s">
        <v>112</v>
      </c>
      <c r="E70" s="9">
        <v>3.2</v>
      </c>
      <c r="F70" s="9" t="s">
        <v>12</v>
      </c>
      <c r="G70" s="10">
        <f t="shared" si="6"/>
        <v>234.375</v>
      </c>
      <c r="H70" s="9">
        <v>1.86</v>
      </c>
      <c r="I70" s="9">
        <v>0.09</v>
      </c>
      <c r="J70" s="13">
        <f t="shared" si="7"/>
        <v>6</v>
      </c>
      <c r="K70" s="13">
        <f t="shared" si="8"/>
        <v>0</v>
      </c>
      <c r="L70" s="9" t="s">
        <v>13</v>
      </c>
      <c r="M70" s="9">
        <v>40</v>
      </c>
    </row>
    <row r="71" spans="1:13" s="11" customFormat="1" x14ac:dyDescent="0.15">
      <c r="A71" s="11">
        <v>69</v>
      </c>
      <c r="B71" s="11" t="s">
        <v>113</v>
      </c>
      <c r="C71" s="11" t="s">
        <v>10</v>
      </c>
      <c r="D71" s="11" t="s">
        <v>114</v>
      </c>
      <c r="E71" s="11">
        <v>465.5</v>
      </c>
      <c r="F71" s="11" t="s">
        <v>12</v>
      </c>
      <c r="G71" s="12">
        <f t="shared" si="6"/>
        <v>1.6111707841031149</v>
      </c>
      <c r="H71" s="11">
        <v>1.46</v>
      </c>
      <c r="I71" s="11">
        <v>2.27</v>
      </c>
      <c r="J71" s="17">
        <f t="shared" si="7"/>
        <v>1.6111707841031149</v>
      </c>
      <c r="K71" s="17">
        <f t="shared" si="8"/>
        <v>4.3888292158968856</v>
      </c>
      <c r="L71" s="11" t="s">
        <v>13</v>
      </c>
      <c r="M71" s="11">
        <v>40</v>
      </c>
    </row>
    <row r="72" spans="1:13" s="5" customFormat="1" x14ac:dyDescent="0.15">
      <c r="A72">
        <v>70</v>
      </c>
      <c r="B72" s="11" t="s">
        <v>115</v>
      </c>
      <c r="C72" t="s">
        <v>10</v>
      </c>
      <c r="D72" t="s">
        <v>116</v>
      </c>
      <c r="E72">
        <v>322.3</v>
      </c>
      <c r="F72" t="s">
        <v>12</v>
      </c>
      <c r="G72" s="2">
        <f t="shared" si="6"/>
        <v>2.3270245113248524</v>
      </c>
      <c r="H72">
        <v>1.96</v>
      </c>
      <c r="I72">
        <v>1.59</v>
      </c>
      <c r="J72" s="15">
        <f t="shared" si="7"/>
        <v>2.3270245113248524</v>
      </c>
      <c r="K72" s="15">
        <f t="shared" si="8"/>
        <v>3.6729754886751476</v>
      </c>
      <c r="L72" t="s">
        <v>13</v>
      </c>
      <c r="M72">
        <v>40</v>
      </c>
    </row>
    <row r="73" spans="1:13" x14ac:dyDescent="0.15">
      <c r="A73">
        <v>71</v>
      </c>
      <c r="B73" s="11" t="s">
        <v>117</v>
      </c>
      <c r="C73" t="s">
        <v>10</v>
      </c>
      <c r="D73" t="s">
        <v>118</v>
      </c>
      <c r="E73">
        <v>269.89999999999998</v>
      </c>
      <c r="F73" t="s">
        <v>12</v>
      </c>
      <c r="G73" s="2">
        <f t="shared" si="6"/>
        <v>2.778806965542794</v>
      </c>
      <c r="H73">
        <v>1.63</v>
      </c>
      <c r="I73">
        <v>1.28</v>
      </c>
      <c r="J73" s="15">
        <f t="shared" si="7"/>
        <v>2.778806965542794</v>
      </c>
      <c r="K73" s="15">
        <f t="shared" si="8"/>
        <v>3.221193034457206</v>
      </c>
      <c r="L73" t="s">
        <v>13</v>
      </c>
      <c r="M73">
        <v>40</v>
      </c>
    </row>
    <row r="74" spans="1:13" x14ac:dyDescent="0.15">
      <c r="A74">
        <v>72</v>
      </c>
      <c r="B74" s="11" t="s">
        <v>119</v>
      </c>
      <c r="C74" t="s">
        <v>10</v>
      </c>
      <c r="D74" t="s">
        <v>214</v>
      </c>
      <c r="E74">
        <v>639</v>
      </c>
      <c r="F74" t="s">
        <v>12</v>
      </c>
      <c r="G74" s="2">
        <f t="shared" si="6"/>
        <v>1.1737089201877935</v>
      </c>
      <c r="H74">
        <v>1.66</v>
      </c>
      <c r="I74">
        <v>2.35</v>
      </c>
      <c r="J74" s="15">
        <f t="shared" si="7"/>
        <v>1.1737089201877935</v>
      </c>
      <c r="K74" s="15">
        <f t="shared" si="8"/>
        <v>4.8262910798122061</v>
      </c>
      <c r="L74" t="s">
        <v>13</v>
      </c>
      <c r="M74">
        <v>40</v>
      </c>
    </row>
    <row r="75" spans="1:13" x14ac:dyDescent="0.15">
      <c r="A75">
        <v>73</v>
      </c>
      <c r="B75" s="11" t="s">
        <v>120</v>
      </c>
      <c r="C75" t="s">
        <v>10</v>
      </c>
      <c r="D75" t="s">
        <v>121</v>
      </c>
      <c r="E75">
        <v>139.80000000000001</v>
      </c>
      <c r="F75" t="s">
        <v>12</v>
      </c>
      <c r="G75" s="2">
        <f t="shared" si="6"/>
        <v>5.3648068669527893</v>
      </c>
      <c r="H75">
        <v>2.15</v>
      </c>
      <c r="I75">
        <v>0.52</v>
      </c>
      <c r="J75" s="15">
        <f t="shared" si="7"/>
        <v>5.3648068669527893</v>
      </c>
      <c r="K75" s="15">
        <f t="shared" si="8"/>
        <v>0.6351931330472107</v>
      </c>
      <c r="L75" t="s">
        <v>13</v>
      </c>
      <c r="M75">
        <v>40</v>
      </c>
    </row>
    <row r="76" spans="1:13" x14ac:dyDescent="0.15">
      <c r="A76">
        <v>74</v>
      </c>
      <c r="B76" s="11" t="s">
        <v>122</v>
      </c>
      <c r="C76" t="s">
        <v>10</v>
      </c>
      <c r="D76" t="s">
        <v>200</v>
      </c>
      <c r="E76">
        <v>333</v>
      </c>
      <c r="F76" t="s">
        <v>12</v>
      </c>
      <c r="G76" s="2">
        <f t="shared" si="6"/>
        <v>2.2522522522522523</v>
      </c>
      <c r="H76">
        <v>2.11</v>
      </c>
      <c r="I76">
        <v>1.04</v>
      </c>
      <c r="J76" s="15">
        <f t="shared" si="7"/>
        <v>2.2522522522522523</v>
      </c>
      <c r="K76" s="15">
        <f t="shared" si="8"/>
        <v>3.7477477477477477</v>
      </c>
      <c r="L76" t="s">
        <v>13</v>
      </c>
      <c r="M76">
        <v>40</v>
      </c>
    </row>
    <row r="77" spans="1:13" x14ac:dyDescent="0.15">
      <c r="A77">
        <v>75</v>
      </c>
      <c r="B77" s="11" t="s">
        <v>123</v>
      </c>
      <c r="C77" t="s">
        <v>10</v>
      </c>
      <c r="D77" t="s">
        <v>199</v>
      </c>
      <c r="E77">
        <v>97.2</v>
      </c>
      <c r="F77" t="s">
        <v>12</v>
      </c>
      <c r="G77" s="2">
        <f t="shared" si="6"/>
        <v>7.716049382716049</v>
      </c>
      <c r="H77">
        <v>2.1800000000000002</v>
      </c>
      <c r="I77">
        <v>0.35</v>
      </c>
      <c r="J77" s="15">
        <f t="shared" si="7"/>
        <v>6</v>
      </c>
      <c r="K77" s="15">
        <f t="shared" si="8"/>
        <v>0</v>
      </c>
      <c r="L77" t="s">
        <v>13</v>
      </c>
      <c r="M77">
        <v>40</v>
      </c>
    </row>
    <row r="78" spans="1:13" x14ac:dyDescent="0.15">
      <c r="A78">
        <v>76</v>
      </c>
      <c r="B78" s="11" t="s">
        <v>124</v>
      </c>
      <c r="C78" t="s">
        <v>10</v>
      </c>
      <c r="D78" t="s">
        <v>125</v>
      </c>
      <c r="E78">
        <v>471.5</v>
      </c>
      <c r="F78" t="s">
        <v>12</v>
      </c>
      <c r="G78" s="2">
        <f t="shared" si="6"/>
        <v>1.5906680805938493</v>
      </c>
      <c r="H78">
        <v>2.12</v>
      </c>
      <c r="I78">
        <v>0.92</v>
      </c>
      <c r="J78" s="15">
        <f t="shared" si="7"/>
        <v>1.5906680805938493</v>
      </c>
      <c r="K78" s="15">
        <f t="shared" si="8"/>
        <v>4.4093319194061511</v>
      </c>
      <c r="L78" t="s">
        <v>13</v>
      </c>
      <c r="M78">
        <v>40</v>
      </c>
    </row>
    <row r="79" spans="1:13" x14ac:dyDescent="0.15">
      <c r="A79">
        <v>77</v>
      </c>
      <c r="B79" s="11" t="s">
        <v>126</v>
      </c>
      <c r="C79" t="s">
        <v>10</v>
      </c>
      <c r="D79" t="s">
        <v>201</v>
      </c>
      <c r="E79">
        <v>347.2</v>
      </c>
      <c r="F79" t="s">
        <v>12</v>
      </c>
      <c r="G79" s="2">
        <f t="shared" si="6"/>
        <v>2.1601382488479262</v>
      </c>
      <c r="H79">
        <v>2.02</v>
      </c>
      <c r="I79">
        <v>0.98</v>
      </c>
      <c r="J79" s="15">
        <f t="shared" si="7"/>
        <v>2.1601382488479262</v>
      </c>
      <c r="K79" s="15">
        <f t="shared" si="8"/>
        <v>3.8398617511520738</v>
      </c>
      <c r="L79" t="s">
        <v>13</v>
      </c>
      <c r="M79">
        <v>40</v>
      </c>
    </row>
    <row r="80" spans="1:13" x14ac:dyDescent="0.15">
      <c r="A80">
        <v>78</v>
      </c>
      <c r="B80" s="11" t="s">
        <v>127</v>
      </c>
      <c r="C80" t="s">
        <v>10</v>
      </c>
      <c r="D80" t="s">
        <v>128</v>
      </c>
      <c r="E80">
        <v>137.4</v>
      </c>
      <c r="F80" t="s">
        <v>12</v>
      </c>
      <c r="G80" s="2">
        <f t="shared" si="6"/>
        <v>5.4585152838427948</v>
      </c>
      <c r="H80">
        <v>2.02</v>
      </c>
      <c r="I80">
        <v>0.71</v>
      </c>
      <c r="J80" s="15">
        <f t="shared" si="7"/>
        <v>5.4585152838427948</v>
      </c>
      <c r="K80" s="15">
        <f t="shared" si="8"/>
        <v>0.54148471615720517</v>
      </c>
      <c r="L80" t="s">
        <v>13</v>
      </c>
      <c r="M80">
        <v>40</v>
      </c>
    </row>
    <row r="81" spans="1:13" x14ac:dyDescent="0.15">
      <c r="A81">
        <v>79</v>
      </c>
      <c r="B81" s="11" t="s">
        <v>129</v>
      </c>
      <c r="C81" t="s">
        <v>10</v>
      </c>
      <c r="D81" t="s">
        <v>130</v>
      </c>
      <c r="E81">
        <v>559.29999999999995</v>
      </c>
      <c r="F81" t="s">
        <v>12</v>
      </c>
      <c r="G81" s="2">
        <f t="shared" si="6"/>
        <v>1.3409619166815663</v>
      </c>
      <c r="H81">
        <v>1.65</v>
      </c>
      <c r="I81">
        <v>1.33</v>
      </c>
      <c r="J81" s="15">
        <f t="shared" si="7"/>
        <v>1.3409619166815663</v>
      </c>
      <c r="K81" s="15">
        <f t="shared" si="8"/>
        <v>4.6590380833184337</v>
      </c>
      <c r="L81" t="s">
        <v>13</v>
      </c>
      <c r="M81">
        <v>40</v>
      </c>
    </row>
    <row r="82" spans="1:13" x14ac:dyDescent="0.15">
      <c r="A82">
        <v>80</v>
      </c>
      <c r="B82" s="11" t="s">
        <v>131</v>
      </c>
      <c r="C82" t="s">
        <v>10</v>
      </c>
      <c r="D82" t="s">
        <v>132</v>
      </c>
      <c r="E82">
        <v>533.29999999999995</v>
      </c>
      <c r="F82" t="s">
        <v>12</v>
      </c>
      <c r="G82" s="2">
        <f t="shared" si="6"/>
        <v>1.4063378961185076</v>
      </c>
      <c r="H82">
        <v>1.72</v>
      </c>
      <c r="I82">
        <v>1.69</v>
      </c>
      <c r="J82" s="15">
        <f t="shared" si="7"/>
        <v>1.4063378961185076</v>
      </c>
      <c r="K82" s="15">
        <f t="shared" si="8"/>
        <v>4.593662103881492</v>
      </c>
      <c r="L82" t="s">
        <v>13</v>
      </c>
      <c r="M82">
        <v>40</v>
      </c>
    </row>
    <row r="83" spans="1:13" x14ac:dyDescent="0.15">
      <c r="A83">
        <v>81</v>
      </c>
      <c r="B83" s="11" t="s">
        <v>133</v>
      </c>
      <c r="C83" t="s">
        <v>10</v>
      </c>
      <c r="D83" t="s">
        <v>215</v>
      </c>
      <c r="E83">
        <v>254</v>
      </c>
      <c r="F83" t="s">
        <v>12</v>
      </c>
      <c r="G83" s="2">
        <f t="shared" si="6"/>
        <v>2.9527559055118111</v>
      </c>
      <c r="H83">
        <v>1.68</v>
      </c>
      <c r="I83">
        <v>1.49</v>
      </c>
      <c r="J83" s="15">
        <f t="shared" si="7"/>
        <v>2.9527559055118111</v>
      </c>
      <c r="K83" s="15">
        <f t="shared" si="8"/>
        <v>3.0472440944881889</v>
      </c>
      <c r="L83" t="s">
        <v>13</v>
      </c>
      <c r="M83">
        <v>40</v>
      </c>
    </row>
    <row r="84" spans="1:13" x14ac:dyDescent="0.15">
      <c r="A84">
        <v>82</v>
      </c>
      <c r="B84" s="11" t="s">
        <v>134</v>
      </c>
      <c r="C84" t="s">
        <v>10</v>
      </c>
      <c r="D84" t="s">
        <v>202</v>
      </c>
      <c r="E84">
        <v>388.4</v>
      </c>
      <c r="F84" t="s">
        <v>12</v>
      </c>
      <c r="G84" s="2">
        <f t="shared" si="6"/>
        <v>1.9309989701338828</v>
      </c>
      <c r="H84">
        <v>2.14</v>
      </c>
      <c r="I84">
        <v>0.91</v>
      </c>
      <c r="J84" s="15">
        <f t="shared" si="7"/>
        <v>1.9309989701338828</v>
      </c>
      <c r="K84" s="15">
        <f t="shared" si="8"/>
        <v>4.0690010298661168</v>
      </c>
      <c r="L84" t="s">
        <v>13</v>
      </c>
      <c r="M84">
        <v>40</v>
      </c>
    </row>
    <row r="85" spans="1:13" x14ac:dyDescent="0.15">
      <c r="A85">
        <v>83</v>
      </c>
      <c r="B85" s="11" t="s">
        <v>135</v>
      </c>
      <c r="C85" t="s">
        <v>10</v>
      </c>
      <c r="D85" t="s">
        <v>203</v>
      </c>
      <c r="E85">
        <v>95.5</v>
      </c>
      <c r="F85" t="s">
        <v>12</v>
      </c>
      <c r="G85" s="2">
        <f t="shared" si="6"/>
        <v>7.8534031413612562</v>
      </c>
      <c r="H85">
        <v>2.17</v>
      </c>
      <c r="I85">
        <v>0.85</v>
      </c>
      <c r="J85" s="15">
        <f t="shared" si="7"/>
        <v>6</v>
      </c>
      <c r="K85" s="15">
        <f t="shared" si="8"/>
        <v>0</v>
      </c>
      <c r="L85" t="s">
        <v>13</v>
      </c>
      <c r="M85">
        <v>40</v>
      </c>
    </row>
    <row r="86" spans="1:13" x14ac:dyDescent="0.15">
      <c r="A86">
        <v>84</v>
      </c>
      <c r="B86" t="s">
        <v>136</v>
      </c>
      <c r="C86" t="s">
        <v>10</v>
      </c>
      <c r="D86" t="s">
        <v>204</v>
      </c>
      <c r="E86">
        <v>296.8</v>
      </c>
      <c r="F86" t="s">
        <v>12</v>
      </c>
      <c r="G86" s="2">
        <f t="shared" si="6"/>
        <v>2.5269541778975739</v>
      </c>
      <c r="H86">
        <v>2.08</v>
      </c>
      <c r="I86">
        <v>1.51</v>
      </c>
      <c r="J86" s="15">
        <f t="shared" si="7"/>
        <v>2.5269541778975739</v>
      </c>
      <c r="K86" s="15">
        <f t="shared" si="8"/>
        <v>3.4730458221024261</v>
      </c>
      <c r="L86" t="s">
        <v>13</v>
      </c>
      <c r="M86">
        <v>40</v>
      </c>
    </row>
    <row r="87" spans="1:13" s="5" customFormat="1" x14ac:dyDescent="0.15">
      <c r="A87" s="5">
        <v>85</v>
      </c>
      <c r="B87" s="5" t="s">
        <v>137</v>
      </c>
      <c r="C87" s="5" t="s">
        <v>10</v>
      </c>
      <c r="D87" s="5" t="s">
        <v>138</v>
      </c>
      <c r="E87" s="5">
        <v>5</v>
      </c>
      <c r="F87" s="5" t="s">
        <v>12</v>
      </c>
      <c r="G87" s="6">
        <f t="shared" si="6"/>
        <v>150</v>
      </c>
      <c r="H87" s="5">
        <v>1.66</v>
      </c>
      <c r="I87" s="5">
        <v>0.08</v>
      </c>
      <c r="J87" s="14">
        <f t="shared" si="7"/>
        <v>6</v>
      </c>
      <c r="K87" s="14">
        <f t="shared" si="8"/>
        <v>0</v>
      </c>
      <c r="L87" s="5" t="s">
        <v>13</v>
      </c>
      <c r="M87" s="5">
        <v>40</v>
      </c>
    </row>
    <row r="88" spans="1:13" x14ac:dyDescent="0.15">
      <c r="A88">
        <v>86</v>
      </c>
      <c r="B88" s="11" t="s">
        <v>139</v>
      </c>
      <c r="C88" t="s">
        <v>10</v>
      </c>
      <c r="D88" t="s">
        <v>140</v>
      </c>
      <c r="E88">
        <v>403.8</v>
      </c>
      <c r="F88" t="s">
        <v>12</v>
      </c>
      <c r="G88" s="2">
        <f t="shared" si="6"/>
        <v>1.8573551263001484</v>
      </c>
      <c r="H88">
        <v>2.12</v>
      </c>
      <c r="I88">
        <v>1.23</v>
      </c>
      <c r="J88" s="15">
        <f t="shared" si="7"/>
        <v>1.8573551263001484</v>
      </c>
      <c r="K88" s="15">
        <f t="shared" si="8"/>
        <v>4.1426448736998518</v>
      </c>
      <c r="L88" t="s">
        <v>13</v>
      </c>
      <c r="M88">
        <v>40</v>
      </c>
    </row>
    <row r="89" spans="1:13" x14ac:dyDescent="0.15">
      <c r="A89">
        <v>87</v>
      </c>
      <c r="B89" s="11" t="s">
        <v>141</v>
      </c>
      <c r="C89" t="s">
        <v>10</v>
      </c>
      <c r="D89" t="s">
        <v>142</v>
      </c>
      <c r="E89">
        <v>479.3</v>
      </c>
      <c r="F89" t="s">
        <v>12</v>
      </c>
      <c r="G89" s="2">
        <f t="shared" si="6"/>
        <v>1.5647819737116628</v>
      </c>
      <c r="H89">
        <v>1.78</v>
      </c>
      <c r="I89">
        <v>2.09</v>
      </c>
      <c r="J89" s="15">
        <f t="shared" si="7"/>
        <v>1.5647819737116628</v>
      </c>
      <c r="K89" s="15">
        <f t="shared" si="8"/>
        <v>4.4352180262883376</v>
      </c>
      <c r="L89" t="s">
        <v>13</v>
      </c>
      <c r="M89">
        <v>40</v>
      </c>
    </row>
    <row r="90" spans="1:13" x14ac:dyDescent="0.15">
      <c r="A90">
        <v>88</v>
      </c>
      <c r="B90" s="11" t="s">
        <v>143</v>
      </c>
      <c r="C90" t="s">
        <v>10</v>
      </c>
      <c r="D90" t="s">
        <v>144</v>
      </c>
      <c r="E90">
        <v>393.6</v>
      </c>
      <c r="F90" t="s">
        <v>12</v>
      </c>
      <c r="G90" s="2">
        <f t="shared" si="6"/>
        <v>1.9054878048780486</v>
      </c>
      <c r="H90">
        <v>1.89</v>
      </c>
      <c r="I90">
        <v>0.82</v>
      </c>
      <c r="J90" s="15">
        <f t="shared" si="7"/>
        <v>1.9054878048780486</v>
      </c>
      <c r="K90" s="15">
        <f t="shared" si="8"/>
        <v>4.0945121951219514</v>
      </c>
      <c r="L90" t="s">
        <v>13</v>
      </c>
      <c r="M90">
        <v>40</v>
      </c>
    </row>
    <row r="91" spans="1:13" x14ac:dyDescent="0.15">
      <c r="A91">
        <v>89</v>
      </c>
      <c r="B91" s="11" t="s">
        <v>145</v>
      </c>
      <c r="C91" t="s">
        <v>10</v>
      </c>
      <c r="D91" t="s">
        <v>146</v>
      </c>
      <c r="E91">
        <v>201.3</v>
      </c>
      <c r="F91" t="s">
        <v>12</v>
      </c>
      <c r="G91" s="2">
        <f t="shared" si="6"/>
        <v>3.7257824143070044</v>
      </c>
      <c r="H91">
        <v>2.13</v>
      </c>
      <c r="I91">
        <v>1.74</v>
      </c>
      <c r="J91" s="15">
        <f t="shared" si="7"/>
        <v>3.7257824143070044</v>
      </c>
      <c r="K91" s="15">
        <f t="shared" si="8"/>
        <v>2.2742175856929956</v>
      </c>
      <c r="L91" t="s">
        <v>13</v>
      </c>
      <c r="M91">
        <v>40</v>
      </c>
    </row>
    <row r="92" spans="1:13" x14ac:dyDescent="0.15">
      <c r="A92">
        <v>90</v>
      </c>
      <c r="B92" s="11" t="s">
        <v>147</v>
      </c>
      <c r="C92" t="s">
        <v>10</v>
      </c>
      <c r="D92" t="s">
        <v>205</v>
      </c>
      <c r="E92">
        <v>90.4</v>
      </c>
      <c r="F92" t="s">
        <v>12</v>
      </c>
      <c r="G92" s="2">
        <f t="shared" si="6"/>
        <v>8.2964601769911503</v>
      </c>
      <c r="H92">
        <v>2.0699999999999998</v>
      </c>
      <c r="I92">
        <v>1.18</v>
      </c>
      <c r="J92" s="15">
        <f t="shared" si="7"/>
        <v>6</v>
      </c>
      <c r="K92" s="15">
        <f t="shared" si="8"/>
        <v>0</v>
      </c>
      <c r="L92" t="s">
        <v>13</v>
      </c>
      <c r="M92">
        <v>40</v>
      </c>
    </row>
    <row r="93" spans="1:13" x14ac:dyDescent="0.15">
      <c r="A93">
        <v>91</v>
      </c>
      <c r="B93" s="11" t="s">
        <v>148</v>
      </c>
      <c r="C93" t="s">
        <v>10</v>
      </c>
      <c r="D93" t="s">
        <v>149</v>
      </c>
      <c r="E93">
        <v>385.6</v>
      </c>
      <c r="F93" t="s">
        <v>12</v>
      </c>
      <c r="G93" s="2">
        <f t="shared" si="6"/>
        <v>1.9450207468879668</v>
      </c>
      <c r="H93">
        <v>1.83</v>
      </c>
      <c r="I93">
        <v>1.36</v>
      </c>
      <c r="J93" s="15">
        <f t="shared" si="7"/>
        <v>1.9450207468879668</v>
      </c>
      <c r="K93" s="15">
        <f t="shared" si="8"/>
        <v>4.054979253112033</v>
      </c>
      <c r="L93" t="s">
        <v>13</v>
      </c>
      <c r="M93">
        <v>40</v>
      </c>
    </row>
    <row r="94" spans="1:13" x14ac:dyDescent="0.15">
      <c r="A94">
        <v>92</v>
      </c>
      <c r="B94" s="11" t="s">
        <v>150</v>
      </c>
      <c r="C94" t="s">
        <v>10</v>
      </c>
      <c r="D94" t="s">
        <v>151</v>
      </c>
      <c r="E94">
        <v>389.7</v>
      </c>
      <c r="F94" t="s">
        <v>12</v>
      </c>
      <c r="G94" s="2">
        <f t="shared" si="6"/>
        <v>1.9245573518090839</v>
      </c>
      <c r="H94">
        <v>1.9</v>
      </c>
      <c r="I94">
        <v>1.41</v>
      </c>
      <c r="J94" s="15">
        <f t="shared" si="7"/>
        <v>1.9245573518090839</v>
      </c>
      <c r="K94" s="15">
        <f t="shared" si="8"/>
        <v>4.0754426481909158</v>
      </c>
      <c r="L94" t="s">
        <v>13</v>
      </c>
      <c r="M94">
        <v>40</v>
      </c>
    </row>
    <row r="95" spans="1:13" x14ac:dyDescent="0.15">
      <c r="A95">
        <v>94</v>
      </c>
      <c r="B95" s="11" t="s">
        <v>152</v>
      </c>
      <c r="C95" t="s">
        <v>10</v>
      </c>
      <c r="D95" t="s">
        <v>206</v>
      </c>
      <c r="E95">
        <v>474.2</v>
      </c>
      <c r="F95" t="s">
        <v>12</v>
      </c>
      <c r="G95" s="2">
        <f t="shared" si="6"/>
        <v>1.5816111345423871</v>
      </c>
      <c r="H95">
        <v>2.14</v>
      </c>
      <c r="I95">
        <v>1.53</v>
      </c>
      <c r="J95" s="15">
        <f t="shared" si="7"/>
        <v>1.5816111345423871</v>
      </c>
      <c r="K95" s="15">
        <f t="shared" si="8"/>
        <v>4.4183888654576133</v>
      </c>
      <c r="L95" t="s">
        <v>13</v>
      </c>
      <c r="M95">
        <v>40</v>
      </c>
    </row>
    <row r="96" spans="1:13" x14ac:dyDescent="0.15">
      <c r="A96">
        <v>95</v>
      </c>
      <c r="B96" s="11" t="s">
        <v>153</v>
      </c>
      <c r="C96" t="s">
        <v>10</v>
      </c>
      <c r="D96" t="s">
        <v>154</v>
      </c>
      <c r="E96">
        <v>382.2</v>
      </c>
      <c r="F96" t="s">
        <v>12</v>
      </c>
      <c r="G96" s="2">
        <f t="shared" si="6"/>
        <v>1.9623233908948194</v>
      </c>
      <c r="H96">
        <v>1.84</v>
      </c>
      <c r="I96">
        <v>1.07</v>
      </c>
      <c r="J96" s="15">
        <f t="shared" si="7"/>
        <v>1.9623233908948194</v>
      </c>
      <c r="K96" s="15">
        <f t="shared" si="8"/>
        <v>4.0376766091051808</v>
      </c>
      <c r="L96" t="s">
        <v>13</v>
      </c>
      <c r="M96">
        <v>40</v>
      </c>
    </row>
    <row r="97" spans="1:13" x14ac:dyDescent="0.15">
      <c r="A97">
        <v>96</v>
      </c>
      <c r="B97" s="11" t="s">
        <v>155</v>
      </c>
      <c r="C97" t="s">
        <v>10</v>
      </c>
      <c r="D97" t="s">
        <v>207</v>
      </c>
      <c r="E97">
        <v>455.1</v>
      </c>
      <c r="F97" t="s">
        <v>12</v>
      </c>
      <c r="G97" s="2">
        <f t="shared" si="6"/>
        <v>1.6479894528675016</v>
      </c>
      <c r="H97">
        <v>1.96</v>
      </c>
      <c r="I97">
        <v>1.08</v>
      </c>
      <c r="J97" s="15">
        <f t="shared" si="7"/>
        <v>1.6479894528675016</v>
      </c>
      <c r="K97" s="15">
        <f t="shared" si="8"/>
        <v>4.3520105471324984</v>
      </c>
      <c r="L97" t="s">
        <v>13</v>
      </c>
      <c r="M97">
        <v>40</v>
      </c>
    </row>
    <row r="98" spans="1:13" x14ac:dyDescent="0.15">
      <c r="A98">
        <v>97</v>
      </c>
      <c r="B98" s="11" t="s">
        <v>156</v>
      </c>
      <c r="C98" t="s">
        <v>10</v>
      </c>
      <c r="D98" t="s">
        <v>157</v>
      </c>
      <c r="E98">
        <v>439.5</v>
      </c>
      <c r="F98" t="s">
        <v>12</v>
      </c>
      <c r="G98" s="2">
        <f t="shared" ref="G98:G115" si="9">750/E98</f>
        <v>1.7064846416382253</v>
      </c>
      <c r="H98">
        <v>1.9</v>
      </c>
      <c r="I98">
        <v>1.6</v>
      </c>
      <c r="J98" s="15">
        <f t="shared" ref="J98:J115" si="10">IF(G98&gt;=6, 6, G98)</f>
        <v>1.7064846416382253</v>
      </c>
      <c r="K98" s="15">
        <f t="shared" ref="K98:K129" si="11">6-J98</f>
        <v>4.2935153583617751</v>
      </c>
      <c r="L98" t="s">
        <v>13</v>
      </c>
      <c r="M98">
        <v>40</v>
      </c>
    </row>
    <row r="99" spans="1:13" x14ac:dyDescent="0.15">
      <c r="A99">
        <v>98</v>
      </c>
      <c r="B99" s="11" t="s">
        <v>158</v>
      </c>
      <c r="C99" t="s">
        <v>10</v>
      </c>
      <c r="D99" t="s">
        <v>208</v>
      </c>
      <c r="E99">
        <v>288.89999999999998</v>
      </c>
      <c r="F99" t="s">
        <v>12</v>
      </c>
      <c r="G99" s="2">
        <f t="shared" si="9"/>
        <v>2.5960539979231569</v>
      </c>
      <c r="H99">
        <v>1.91</v>
      </c>
      <c r="I99">
        <v>2.0299999999999998</v>
      </c>
      <c r="J99" s="15">
        <f t="shared" si="10"/>
        <v>2.5960539979231569</v>
      </c>
      <c r="K99" s="15">
        <f t="shared" si="11"/>
        <v>3.4039460020768431</v>
      </c>
      <c r="L99" t="s">
        <v>13</v>
      </c>
      <c r="M99">
        <v>40</v>
      </c>
    </row>
    <row r="100" spans="1:13" x14ac:dyDescent="0.15">
      <c r="A100">
        <v>99</v>
      </c>
      <c r="B100" s="11" t="s">
        <v>159</v>
      </c>
      <c r="C100" t="s">
        <v>10</v>
      </c>
      <c r="D100" t="s">
        <v>160</v>
      </c>
      <c r="E100">
        <v>108.4</v>
      </c>
      <c r="F100" t="s">
        <v>12</v>
      </c>
      <c r="G100" s="2">
        <f t="shared" si="9"/>
        <v>6.9188191881918817</v>
      </c>
      <c r="H100">
        <v>2.1</v>
      </c>
      <c r="I100">
        <v>0.91</v>
      </c>
      <c r="J100" s="15">
        <f t="shared" si="10"/>
        <v>6</v>
      </c>
      <c r="K100" s="15">
        <f t="shared" si="11"/>
        <v>0</v>
      </c>
      <c r="L100" t="s">
        <v>13</v>
      </c>
      <c r="M100">
        <v>40</v>
      </c>
    </row>
    <row r="101" spans="1:13" x14ac:dyDescent="0.15">
      <c r="A101">
        <v>100</v>
      </c>
      <c r="B101" s="11" t="s">
        <v>161</v>
      </c>
      <c r="C101" t="s">
        <v>10</v>
      </c>
      <c r="D101" t="s">
        <v>162</v>
      </c>
      <c r="E101">
        <v>238.7</v>
      </c>
      <c r="F101" t="s">
        <v>12</v>
      </c>
      <c r="G101" s="2">
        <f t="shared" si="9"/>
        <v>3.1420192710515291</v>
      </c>
      <c r="H101">
        <v>2.1</v>
      </c>
      <c r="I101">
        <v>1.6</v>
      </c>
      <c r="J101" s="15">
        <f t="shared" si="10"/>
        <v>3.1420192710515291</v>
      </c>
      <c r="K101" s="15">
        <f t="shared" si="11"/>
        <v>2.8579807289484709</v>
      </c>
      <c r="L101" t="s">
        <v>13</v>
      </c>
      <c r="M101">
        <v>40</v>
      </c>
    </row>
    <row r="102" spans="1:13" x14ac:dyDescent="0.15">
      <c r="A102">
        <v>101</v>
      </c>
      <c r="B102" s="11" t="s">
        <v>163</v>
      </c>
      <c r="C102" t="s">
        <v>10</v>
      </c>
      <c r="D102" t="s">
        <v>164</v>
      </c>
      <c r="E102">
        <v>267.8</v>
      </c>
      <c r="F102" t="s">
        <v>12</v>
      </c>
      <c r="G102" s="2">
        <f t="shared" si="9"/>
        <v>2.8005974607916353</v>
      </c>
      <c r="H102">
        <v>2.13</v>
      </c>
      <c r="I102">
        <v>2</v>
      </c>
      <c r="J102" s="15">
        <f t="shared" si="10"/>
        <v>2.8005974607916353</v>
      </c>
      <c r="K102" s="15">
        <f t="shared" si="11"/>
        <v>3.1994025392083647</v>
      </c>
      <c r="L102" t="s">
        <v>13</v>
      </c>
      <c r="M102">
        <v>40</v>
      </c>
    </row>
    <row r="103" spans="1:13" x14ac:dyDescent="0.15">
      <c r="A103">
        <v>102</v>
      </c>
      <c r="B103" s="11" t="s">
        <v>165</v>
      </c>
      <c r="C103" t="s">
        <v>10</v>
      </c>
      <c r="D103" t="s">
        <v>166</v>
      </c>
      <c r="E103">
        <v>68.099999999999994</v>
      </c>
      <c r="F103" t="s">
        <v>12</v>
      </c>
      <c r="G103" s="2">
        <f t="shared" si="9"/>
        <v>11.013215859030838</v>
      </c>
      <c r="H103">
        <v>2.12</v>
      </c>
      <c r="I103">
        <v>0.61</v>
      </c>
      <c r="J103" s="15">
        <f t="shared" si="10"/>
        <v>6</v>
      </c>
      <c r="K103" s="15">
        <f t="shared" si="11"/>
        <v>0</v>
      </c>
      <c r="L103" t="s">
        <v>13</v>
      </c>
      <c r="M103">
        <v>40</v>
      </c>
    </row>
    <row r="104" spans="1:13" x14ac:dyDescent="0.15">
      <c r="A104">
        <v>103</v>
      </c>
      <c r="B104" s="11" t="s">
        <v>167</v>
      </c>
      <c r="C104" t="s">
        <v>10</v>
      </c>
      <c r="D104" t="s">
        <v>168</v>
      </c>
      <c r="E104">
        <v>173.6</v>
      </c>
      <c r="F104" t="s">
        <v>12</v>
      </c>
      <c r="G104" s="2">
        <f t="shared" si="9"/>
        <v>4.3202764976958523</v>
      </c>
      <c r="H104">
        <v>2.13</v>
      </c>
      <c r="I104">
        <v>1.72</v>
      </c>
      <c r="J104" s="15">
        <f t="shared" si="10"/>
        <v>4.3202764976958523</v>
      </c>
      <c r="K104" s="15">
        <f t="shared" si="11"/>
        <v>1.6797235023041477</v>
      </c>
      <c r="L104" t="s">
        <v>13</v>
      </c>
      <c r="M104">
        <v>40</v>
      </c>
    </row>
    <row r="105" spans="1:13" x14ac:dyDescent="0.15">
      <c r="A105">
        <v>104</v>
      </c>
      <c r="B105" s="11" t="s">
        <v>169</v>
      </c>
      <c r="C105" t="s">
        <v>10</v>
      </c>
      <c r="D105" t="s">
        <v>170</v>
      </c>
      <c r="E105">
        <v>118.2</v>
      </c>
      <c r="F105" t="s">
        <v>12</v>
      </c>
      <c r="G105" s="2">
        <f t="shared" si="9"/>
        <v>6.345177664974619</v>
      </c>
      <c r="H105">
        <v>2.1</v>
      </c>
      <c r="I105">
        <v>1.83</v>
      </c>
      <c r="J105" s="15">
        <f t="shared" si="10"/>
        <v>6</v>
      </c>
      <c r="K105" s="15">
        <f t="shared" si="11"/>
        <v>0</v>
      </c>
      <c r="L105" t="s">
        <v>13</v>
      </c>
      <c r="M105">
        <v>40</v>
      </c>
    </row>
    <row r="106" spans="1:13" x14ac:dyDescent="0.15">
      <c r="A106">
        <v>105</v>
      </c>
      <c r="B106" s="11" t="s">
        <v>171</v>
      </c>
      <c r="C106" t="s">
        <v>10</v>
      </c>
      <c r="D106" t="s">
        <v>172</v>
      </c>
      <c r="E106">
        <v>234.9</v>
      </c>
      <c r="F106" t="s">
        <v>12</v>
      </c>
      <c r="G106" s="2">
        <f t="shared" si="9"/>
        <v>3.1928480204342273</v>
      </c>
      <c r="H106">
        <v>1.66</v>
      </c>
      <c r="I106">
        <v>2.63</v>
      </c>
      <c r="J106" s="15">
        <f t="shared" si="10"/>
        <v>3.1928480204342273</v>
      </c>
      <c r="K106" s="15">
        <f t="shared" si="11"/>
        <v>2.8071519795657727</v>
      </c>
      <c r="L106" t="s">
        <v>13</v>
      </c>
      <c r="M106">
        <v>40</v>
      </c>
    </row>
    <row r="107" spans="1:13" x14ac:dyDescent="0.15">
      <c r="A107">
        <v>106</v>
      </c>
      <c r="B107" s="11" t="s">
        <v>173</v>
      </c>
      <c r="C107" t="s">
        <v>10</v>
      </c>
      <c r="D107" t="s">
        <v>174</v>
      </c>
      <c r="E107">
        <v>582.9</v>
      </c>
      <c r="F107" t="s">
        <v>12</v>
      </c>
      <c r="G107" s="2">
        <f t="shared" si="9"/>
        <v>1.2866700977869274</v>
      </c>
      <c r="H107">
        <v>1.88</v>
      </c>
      <c r="I107">
        <v>1.44</v>
      </c>
      <c r="J107" s="15">
        <f t="shared" si="10"/>
        <v>1.2866700977869274</v>
      </c>
      <c r="K107" s="15">
        <f t="shared" si="11"/>
        <v>4.7133299022130721</v>
      </c>
      <c r="L107" t="s">
        <v>13</v>
      </c>
      <c r="M107">
        <v>40</v>
      </c>
    </row>
    <row r="108" spans="1:13" x14ac:dyDescent="0.15">
      <c r="A108">
        <v>107</v>
      </c>
      <c r="B108" s="11" t="s">
        <v>175</v>
      </c>
      <c r="C108" t="s">
        <v>10</v>
      </c>
      <c r="D108" t="s">
        <v>176</v>
      </c>
      <c r="E108">
        <v>367</v>
      </c>
      <c r="F108" t="s">
        <v>12</v>
      </c>
      <c r="G108" s="2">
        <f t="shared" si="9"/>
        <v>2.0435967302452318</v>
      </c>
      <c r="H108">
        <v>2.15</v>
      </c>
      <c r="I108">
        <v>1.83</v>
      </c>
      <c r="J108" s="15">
        <f t="shared" si="10"/>
        <v>2.0435967302452318</v>
      </c>
      <c r="K108" s="15">
        <f t="shared" si="11"/>
        <v>3.9564032697547682</v>
      </c>
      <c r="L108" t="s">
        <v>13</v>
      </c>
      <c r="M108">
        <v>40</v>
      </c>
    </row>
    <row r="109" spans="1:13" s="11" customFormat="1" x14ac:dyDescent="0.15">
      <c r="A109">
        <v>108</v>
      </c>
      <c r="B109" s="11" t="s">
        <v>177</v>
      </c>
      <c r="C109" t="s">
        <v>10</v>
      </c>
      <c r="D109" t="s">
        <v>178</v>
      </c>
      <c r="E109">
        <v>493</v>
      </c>
      <c r="F109" t="s">
        <v>12</v>
      </c>
      <c r="G109" s="2">
        <f t="shared" si="9"/>
        <v>1.5212981744421907</v>
      </c>
      <c r="H109">
        <v>2.14</v>
      </c>
      <c r="I109">
        <v>1.48</v>
      </c>
      <c r="J109" s="15">
        <f t="shared" si="10"/>
        <v>1.5212981744421907</v>
      </c>
      <c r="K109" s="15">
        <f t="shared" si="11"/>
        <v>4.4787018255578097</v>
      </c>
      <c r="L109" t="s">
        <v>13</v>
      </c>
      <c r="M109">
        <v>40</v>
      </c>
    </row>
    <row r="110" spans="1:13" x14ac:dyDescent="0.15">
      <c r="A110">
        <v>109</v>
      </c>
      <c r="B110" s="11" t="s">
        <v>179</v>
      </c>
      <c r="C110" t="s">
        <v>10</v>
      </c>
      <c r="D110" t="s">
        <v>180</v>
      </c>
      <c r="E110">
        <v>119</v>
      </c>
      <c r="F110" t="s">
        <v>12</v>
      </c>
      <c r="G110" s="2">
        <f t="shared" si="9"/>
        <v>6.3025210084033612</v>
      </c>
      <c r="H110">
        <v>2.0699999999999998</v>
      </c>
      <c r="I110">
        <v>1.49</v>
      </c>
      <c r="J110" s="15">
        <f t="shared" si="10"/>
        <v>6</v>
      </c>
      <c r="K110" s="15">
        <f t="shared" si="11"/>
        <v>0</v>
      </c>
      <c r="L110" t="s">
        <v>13</v>
      </c>
      <c r="M110">
        <v>40</v>
      </c>
    </row>
    <row r="111" spans="1:13" x14ac:dyDescent="0.15">
      <c r="A111">
        <v>110</v>
      </c>
      <c r="B111" s="11" t="s">
        <v>181</v>
      </c>
      <c r="C111" t="s">
        <v>10</v>
      </c>
      <c r="D111" t="s">
        <v>182</v>
      </c>
      <c r="E111">
        <v>274</v>
      </c>
      <c r="F111" t="s">
        <v>12</v>
      </c>
      <c r="G111" s="2">
        <f t="shared" si="9"/>
        <v>2.7372262773722627</v>
      </c>
      <c r="H111">
        <v>2.14</v>
      </c>
      <c r="I111">
        <v>1.77</v>
      </c>
      <c r="J111" s="15">
        <f t="shared" si="10"/>
        <v>2.7372262773722627</v>
      </c>
      <c r="K111" s="15">
        <f t="shared" si="11"/>
        <v>3.2627737226277373</v>
      </c>
      <c r="L111" t="s">
        <v>13</v>
      </c>
      <c r="M111">
        <v>40</v>
      </c>
    </row>
    <row r="112" spans="1:13" s="5" customFormat="1" x14ac:dyDescent="0.15">
      <c r="A112">
        <v>111</v>
      </c>
      <c r="B112" s="11" t="s">
        <v>183</v>
      </c>
      <c r="C112" t="s">
        <v>10</v>
      </c>
      <c r="D112" t="s">
        <v>184</v>
      </c>
      <c r="E112">
        <v>311.7</v>
      </c>
      <c r="F112" t="s">
        <v>12</v>
      </c>
      <c r="G112" s="2">
        <f t="shared" si="9"/>
        <v>2.4061597690086622</v>
      </c>
      <c r="H112">
        <v>1.73</v>
      </c>
      <c r="I112">
        <v>2.1800000000000002</v>
      </c>
      <c r="J112" s="15">
        <f t="shared" si="10"/>
        <v>2.4061597690086622</v>
      </c>
      <c r="K112" s="15">
        <f t="shared" si="11"/>
        <v>3.5938402309913378</v>
      </c>
      <c r="L112" t="s">
        <v>13</v>
      </c>
      <c r="M112">
        <v>40</v>
      </c>
    </row>
    <row r="113" spans="1:13" x14ac:dyDescent="0.15">
      <c r="A113">
        <v>112</v>
      </c>
      <c r="B113" s="11" t="s">
        <v>185</v>
      </c>
      <c r="C113" t="s">
        <v>10</v>
      </c>
      <c r="D113" t="s">
        <v>186</v>
      </c>
      <c r="E113">
        <v>224.2</v>
      </c>
      <c r="F113" t="s">
        <v>12</v>
      </c>
      <c r="G113" s="2">
        <f t="shared" si="9"/>
        <v>3.3452274754683322</v>
      </c>
      <c r="H113">
        <v>1.66</v>
      </c>
      <c r="I113">
        <v>1.95</v>
      </c>
      <c r="J113" s="15">
        <f t="shared" si="10"/>
        <v>3.3452274754683322</v>
      </c>
      <c r="K113" s="15">
        <f t="shared" si="11"/>
        <v>2.6547725245316678</v>
      </c>
      <c r="L113" t="s">
        <v>13</v>
      </c>
      <c r="M113">
        <v>40</v>
      </c>
    </row>
    <row r="114" spans="1:13" x14ac:dyDescent="0.15">
      <c r="A114">
        <v>113</v>
      </c>
      <c r="B114" s="11" t="s">
        <v>187</v>
      </c>
      <c r="C114" t="s">
        <v>10</v>
      </c>
      <c r="D114" t="s">
        <v>188</v>
      </c>
      <c r="E114">
        <v>349.6</v>
      </c>
      <c r="F114" t="s">
        <v>12</v>
      </c>
      <c r="G114" s="2">
        <f t="shared" si="9"/>
        <v>2.1453089244851258</v>
      </c>
      <c r="H114">
        <v>1.62</v>
      </c>
      <c r="I114">
        <v>1.24</v>
      </c>
      <c r="J114" s="15">
        <f t="shared" si="10"/>
        <v>2.1453089244851258</v>
      </c>
      <c r="K114" s="15">
        <f t="shared" si="11"/>
        <v>3.8546910755148742</v>
      </c>
      <c r="L114" t="s">
        <v>13</v>
      </c>
      <c r="M114">
        <v>40</v>
      </c>
    </row>
    <row r="115" spans="1:13" x14ac:dyDescent="0.15">
      <c r="A115">
        <v>114</v>
      </c>
      <c r="B115" s="11" t="s">
        <v>189</v>
      </c>
      <c r="C115" t="s">
        <v>10</v>
      </c>
      <c r="D115" t="s">
        <v>190</v>
      </c>
      <c r="E115">
        <v>95.7</v>
      </c>
      <c r="F115" t="s">
        <v>12</v>
      </c>
      <c r="G115" s="2">
        <f t="shared" si="9"/>
        <v>7.8369905956112849</v>
      </c>
      <c r="H115">
        <v>2.15</v>
      </c>
      <c r="I115">
        <v>1.61</v>
      </c>
      <c r="J115" s="15">
        <f t="shared" si="10"/>
        <v>6</v>
      </c>
      <c r="K115" s="15">
        <f t="shared" si="11"/>
        <v>0</v>
      </c>
      <c r="L115" t="s">
        <v>13</v>
      </c>
      <c r="M115">
        <v>40</v>
      </c>
    </row>
    <row r="116" spans="1:13" x14ac:dyDescent="0.15">
      <c r="M116">
        <v>40</v>
      </c>
    </row>
    <row r="117" spans="1:13" x14ac:dyDescent="0.15">
      <c r="E117">
        <f>AVERAGE(E6:E115)</f>
        <v>303.72454545454548</v>
      </c>
      <c r="H117">
        <f>AVERAGE(H2:H115)</f>
        <v>1.9694736842105267</v>
      </c>
      <c r="I117">
        <f>AVERAGE(I2:I115)</f>
        <v>1.2415789473684209</v>
      </c>
      <c r="M117">
        <v>40</v>
      </c>
    </row>
    <row r="118" spans="1:13" x14ac:dyDescent="0.15">
      <c r="A118" s="11"/>
      <c r="E118">
        <f>STDEV(E6:E115)</f>
        <v>181.26181944954223</v>
      </c>
      <c r="H118">
        <f>STDEV(H2:H115)</f>
        <v>0.21153815993021705</v>
      </c>
      <c r="I118">
        <f>STDEV(I2:I115)</f>
        <v>0.57902050179572073</v>
      </c>
    </row>
    <row r="119" spans="1:13" x14ac:dyDescent="0.15">
      <c r="B119" s="4"/>
      <c r="H119" s="2"/>
      <c r="K119" s="3"/>
      <c r="L119" s="3"/>
    </row>
    <row r="120" spans="1:13" x14ac:dyDescent="0.15">
      <c r="C120" s="40" t="s">
        <v>256</v>
      </c>
      <c r="D120" s="37" t="s">
        <v>257</v>
      </c>
      <c r="M120">
        <v>40</v>
      </c>
    </row>
    <row r="121" spans="1:13" x14ac:dyDescent="0.15">
      <c r="C121" s="41" t="s">
        <v>255</v>
      </c>
      <c r="D121" s="42"/>
    </row>
    <row r="122" spans="1:13" x14ac:dyDescent="0.15">
      <c r="C122" s="43" t="s">
        <v>259</v>
      </c>
      <c r="D122" s="44"/>
      <c r="I122" s="47"/>
      <c r="J122" s="11"/>
    </row>
    <row r="123" spans="1:13" x14ac:dyDescent="0.15">
      <c r="C123" s="45" t="s">
        <v>258</v>
      </c>
      <c r="D123" s="46"/>
      <c r="I123" s="11"/>
      <c r="J123" s="11"/>
    </row>
    <row r="124" spans="1:13" x14ac:dyDescent="0.15">
      <c r="C124" s="38"/>
      <c r="D124" s="39"/>
      <c r="I124" s="47"/>
      <c r="J124" s="11"/>
    </row>
    <row r="125" spans="1:13" x14ac:dyDescent="0.15">
      <c r="I125" s="47"/>
      <c r="J125" s="11"/>
    </row>
    <row r="126" spans="1:13" x14ac:dyDescent="0.15">
      <c r="I126" s="11"/>
      <c r="J126" s="11"/>
    </row>
    <row r="127" spans="1:13" x14ac:dyDescent="0.15">
      <c r="I127" s="11"/>
      <c r="J127" s="11"/>
    </row>
  </sheetData>
  <sortState xmlns:xlrd2="http://schemas.microsoft.com/office/spreadsheetml/2017/richdata2" ref="A2:M127">
    <sortCondition ref="A1:A127"/>
  </sortState>
  <conditionalFormatting sqref="E1">
    <cfRule type="cellIs" dxfId="27" priority="36" operator="lessThan">
      <formula>20</formula>
    </cfRule>
    <cfRule type="cellIs" dxfId="26" priority="40" operator="lessThan">
      <formula>100</formula>
    </cfRule>
  </conditionalFormatting>
  <conditionalFormatting sqref="L116">
    <cfRule type="cellIs" dxfId="25" priority="38" operator="greaterThan">
      <formula>0.01</formula>
    </cfRule>
  </conditionalFormatting>
  <conditionalFormatting sqref="E2:E116">
    <cfRule type="cellIs" dxfId="24" priority="32" operator="between">
      <formula>0.01</formula>
      <formula>20</formula>
    </cfRule>
    <cfRule type="cellIs" dxfId="23" priority="33" operator="between">
      <formula>0.01</formula>
      <formula>100</formula>
    </cfRule>
  </conditionalFormatting>
  <conditionalFormatting sqref="H131:H1048576 H1:H116">
    <cfRule type="cellIs" dxfId="22" priority="31" operator="between">
      <formula>0.01</formula>
      <formula>1.7</formula>
    </cfRule>
  </conditionalFormatting>
  <conditionalFormatting sqref="J2:J32 J35:J37 J50:J115">
    <cfRule type="cellIs" dxfId="21" priority="26" operator="lessThan">
      <formula>6</formula>
    </cfRule>
  </conditionalFormatting>
  <conditionalFormatting sqref="K1:K1048576">
    <cfRule type="cellIs" dxfId="20" priority="24" operator="greaterThan">
      <formula>0.01</formula>
    </cfRule>
  </conditionalFormatting>
  <conditionalFormatting sqref="E1:E1048576">
    <cfRule type="cellIs" dxfId="19" priority="15" operator="between">
      <formula>0.01</formula>
      <formula>49.99</formula>
    </cfRule>
    <cfRule type="cellIs" dxfId="18" priority="16" operator="between">
      <formula>50</formula>
      <formula>110</formula>
    </cfRule>
    <cfRule type="cellIs" dxfId="17" priority="17" operator="between">
      <formula>40.01</formula>
      <formula>100</formula>
    </cfRule>
    <cfRule type="cellIs" dxfId="16" priority="18" operator="between">
      <formula>0.01</formula>
      <formula>40</formula>
    </cfRule>
    <cfRule type="cellIs" dxfId="15" priority="23" operator="between">
      <formula>0.01</formula>
      <formula>30</formula>
    </cfRule>
  </conditionalFormatting>
  <conditionalFormatting sqref="I1:I1048576">
    <cfRule type="cellIs" dxfId="14" priority="7" operator="between">
      <formula>1.59</formula>
      <formula>1.79</formula>
    </cfRule>
    <cfRule type="cellIs" dxfId="13" priority="8" operator="between">
      <formula>0.01</formula>
      <formula>1.59</formula>
    </cfRule>
    <cfRule type="cellIs" dxfId="12" priority="21" operator="between">
      <formula>1</formula>
      <formula>1.5</formula>
    </cfRule>
    <cfRule type="cellIs" dxfId="11" priority="22" operator="between">
      <formula>0.01</formula>
      <formula>1</formula>
    </cfRule>
  </conditionalFormatting>
  <conditionalFormatting sqref="J33:J34">
    <cfRule type="cellIs" dxfId="10" priority="20" operator="lessThan">
      <formula>6</formula>
    </cfRule>
  </conditionalFormatting>
  <conditionalFormatting sqref="J38:J49">
    <cfRule type="cellIs" dxfId="9" priority="19" operator="lessThan">
      <formula>6</formula>
    </cfRule>
  </conditionalFormatting>
  <conditionalFormatting sqref="H1:H1048576">
    <cfRule type="cellIs" dxfId="8" priority="5" operator="between">
      <formula>1.59</formula>
      <formula>1.79</formula>
    </cfRule>
    <cfRule type="cellIs" dxfId="7" priority="6" operator="between">
      <formula>0.01</formula>
      <formula>1.59</formula>
    </cfRule>
    <cfRule type="cellIs" dxfId="6" priority="12" operator="between">
      <formula>1.56</formula>
      <formula>1.69</formula>
    </cfRule>
    <cfRule type="cellIs" dxfId="5" priority="13" operator="between">
      <formula>0.5</formula>
      <formula>1.55</formula>
    </cfRule>
    <cfRule type="cellIs" dxfId="4" priority="14" operator="between">
      <formula>1.6</formula>
      <formula>1.7</formula>
    </cfRule>
  </conditionalFormatting>
  <conditionalFormatting sqref="C120:C124">
    <cfRule type="cellIs" dxfId="3" priority="1" operator="between">
      <formula>1.59</formula>
      <formula>1.79</formula>
    </cfRule>
    <cfRule type="cellIs" dxfId="2" priority="2" operator="between">
      <formula>0.01</formula>
      <formula>1.59</formula>
    </cfRule>
    <cfRule type="cellIs" dxfId="1" priority="3" operator="between">
      <formula>1</formula>
      <formula>1.5</formula>
    </cfRule>
    <cfRule type="cellIs" dxfId="0" priority="4" operator="between">
      <formula>0.01</formula>
      <formula>1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7AABA-FEC7-9440-9123-697CE245A60A}">
  <dimension ref="A2:G117"/>
  <sheetViews>
    <sheetView workbookViewId="0">
      <selection activeCell="E44" sqref="E44"/>
    </sheetView>
  </sheetViews>
  <sheetFormatPr baseColWidth="10" defaultRowHeight="13" x14ac:dyDescent="0.15"/>
  <cols>
    <col min="1" max="1" width="10.6640625" customWidth="1"/>
    <col min="2" max="2" width="8.33203125" customWidth="1"/>
    <col min="3" max="3" width="7.83203125" customWidth="1"/>
    <col min="4" max="4" width="7.1640625" customWidth="1"/>
    <col min="5" max="5" width="8" customWidth="1"/>
    <col min="7" max="7" width="12.1640625" customWidth="1"/>
  </cols>
  <sheetData>
    <row r="2" spans="1:7" x14ac:dyDescent="0.15">
      <c r="A2" s="18" t="s">
        <v>0</v>
      </c>
      <c r="B2" s="18" t="s">
        <v>3</v>
      </c>
      <c r="C2" s="18" t="s">
        <v>4</v>
      </c>
      <c r="D2" s="18" t="s">
        <v>5</v>
      </c>
      <c r="E2" s="18" t="s">
        <v>6</v>
      </c>
      <c r="F2" s="20" t="s">
        <v>210</v>
      </c>
      <c r="G2" s="20" t="s">
        <v>209</v>
      </c>
    </row>
    <row r="3" spans="1:7" x14ac:dyDescent="0.15">
      <c r="A3" t="s">
        <v>9</v>
      </c>
      <c r="B3">
        <v>175.3</v>
      </c>
      <c r="C3" t="s">
        <v>12</v>
      </c>
      <c r="D3">
        <v>2.14</v>
      </c>
      <c r="E3">
        <v>0.62</v>
      </c>
      <c r="F3" s="15">
        <v>4.2783799201369082</v>
      </c>
      <c r="G3" s="15">
        <v>1.7216200798630918</v>
      </c>
    </row>
    <row r="4" spans="1:7" x14ac:dyDescent="0.15">
      <c r="A4" s="19" t="s">
        <v>14</v>
      </c>
      <c r="B4" s="19">
        <v>4</v>
      </c>
      <c r="C4" s="19" t="s">
        <v>12</v>
      </c>
      <c r="D4" s="19">
        <v>1.27</v>
      </c>
      <c r="E4" s="19">
        <v>0.15</v>
      </c>
      <c r="F4" s="15">
        <v>6</v>
      </c>
      <c r="G4" s="15">
        <v>0</v>
      </c>
    </row>
    <row r="5" spans="1:7" x14ac:dyDescent="0.15">
      <c r="A5" s="11" t="s">
        <v>16</v>
      </c>
      <c r="B5" s="11">
        <v>363.5</v>
      </c>
      <c r="C5" s="11" t="s">
        <v>12</v>
      </c>
      <c r="D5" s="11">
        <v>2.12</v>
      </c>
      <c r="E5" s="11">
        <v>2.11</v>
      </c>
      <c r="F5" s="15">
        <v>2.0632737276478679</v>
      </c>
      <c r="G5" s="15">
        <v>3.9367262723521321</v>
      </c>
    </row>
    <row r="6" spans="1:7" x14ac:dyDescent="0.15">
      <c r="A6" t="s">
        <v>18</v>
      </c>
      <c r="B6">
        <v>151.5</v>
      </c>
      <c r="C6" t="s">
        <v>12</v>
      </c>
      <c r="D6">
        <v>2.16</v>
      </c>
      <c r="E6">
        <v>1.46</v>
      </c>
      <c r="F6" s="15">
        <v>4.9504950495049505</v>
      </c>
      <c r="G6" s="15">
        <v>1.0495049504950495</v>
      </c>
    </row>
    <row r="7" spans="1:7" x14ac:dyDescent="0.15">
      <c r="A7" t="s">
        <v>20</v>
      </c>
      <c r="B7">
        <v>383.5</v>
      </c>
      <c r="C7" t="s">
        <v>12</v>
      </c>
      <c r="D7">
        <v>1.67</v>
      </c>
      <c r="E7">
        <v>1.93</v>
      </c>
      <c r="F7" s="15">
        <v>1.955671447196871</v>
      </c>
      <c r="G7" s="15">
        <v>4.0443285528031288</v>
      </c>
    </row>
    <row r="8" spans="1:7" x14ac:dyDescent="0.15">
      <c r="A8" t="s">
        <v>22</v>
      </c>
      <c r="B8">
        <v>391.8</v>
      </c>
      <c r="C8" t="s">
        <v>12</v>
      </c>
      <c r="D8">
        <v>1.83</v>
      </c>
      <c r="E8">
        <v>1.17</v>
      </c>
      <c r="F8" s="15">
        <v>1.9142419601837672</v>
      </c>
      <c r="G8" s="15">
        <v>4.0857580398162323</v>
      </c>
    </row>
    <row r="9" spans="1:7" x14ac:dyDescent="0.15">
      <c r="A9" t="s">
        <v>24</v>
      </c>
      <c r="B9">
        <v>151.1</v>
      </c>
      <c r="C9" t="s">
        <v>12</v>
      </c>
      <c r="D9">
        <v>2.15</v>
      </c>
      <c r="E9">
        <v>0.87</v>
      </c>
      <c r="F9" s="15">
        <v>4.9636002647253479</v>
      </c>
      <c r="G9" s="15">
        <v>1.0363997352746521</v>
      </c>
    </row>
    <row r="10" spans="1:7" x14ac:dyDescent="0.15">
      <c r="A10" s="11" t="s">
        <v>26</v>
      </c>
      <c r="B10" s="11">
        <v>81.099999999999994</v>
      </c>
      <c r="C10" s="11" t="s">
        <v>12</v>
      </c>
      <c r="D10" s="11">
        <v>1.99</v>
      </c>
      <c r="E10" s="11">
        <v>0.76</v>
      </c>
      <c r="F10" s="15">
        <v>6</v>
      </c>
      <c r="G10" s="15">
        <v>0</v>
      </c>
    </row>
    <row r="11" spans="1:7" x14ac:dyDescent="0.15">
      <c r="A11" s="11" t="s">
        <v>28</v>
      </c>
      <c r="B11" s="11">
        <v>320.39999999999998</v>
      </c>
      <c r="C11" s="11" t="s">
        <v>12</v>
      </c>
      <c r="D11" s="11">
        <v>2.12</v>
      </c>
      <c r="E11" s="11">
        <v>1.77</v>
      </c>
      <c r="F11" s="15">
        <v>2.3408239700374533</v>
      </c>
      <c r="G11" s="15">
        <v>3.6591760299625467</v>
      </c>
    </row>
    <row r="12" spans="1:7" x14ac:dyDescent="0.15">
      <c r="A12" s="11" t="s">
        <v>30</v>
      </c>
      <c r="B12" s="11">
        <v>197.2</v>
      </c>
      <c r="C12" s="11" t="s">
        <v>12</v>
      </c>
      <c r="D12" s="11">
        <v>2.06</v>
      </c>
      <c r="E12" s="11">
        <v>0.97</v>
      </c>
      <c r="F12" s="15">
        <v>3.8032454361054771</v>
      </c>
      <c r="G12" s="15">
        <v>2.1967545638945229</v>
      </c>
    </row>
    <row r="13" spans="1:7" x14ac:dyDescent="0.15">
      <c r="A13" s="11" t="s">
        <v>32</v>
      </c>
      <c r="B13" s="11">
        <v>130.19999999999999</v>
      </c>
      <c r="C13" s="11" t="s">
        <v>12</v>
      </c>
      <c r="D13" s="11">
        <v>2.1800000000000002</v>
      </c>
      <c r="E13" s="11">
        <v>1.86</v>
      </c>
      <c r="F13" s="15">
        <v>5.7603686635944706</v>
      </c>
      <c r="G13" s="15">
        <v>0.23963133640552936</v>
      </c>
    </row>
    <row r="14" spans="1:7" x14ac:dyDescent="0.15">
      <c r="A14" s="11" t="s">
        <v>34</v>
      </c>
      <c r="B14" s="11">
        <v>362.7</v>
      </c>
      <c r="C14" s="11" t="s">
        <v>12</v>
      </c>
      <c r="D14" s="11">
        <v>2.15</v>
      </c>
      <c r="E14" s="11">
        <v>0.84</v>
      </c>
      <c r="F14" s="15">
        <v>2.0678246484698097</v>
      </c>
      <c r="G14" s="15">
        <v>3.9321753515301903</v>
      </c>
    </row>
    <row r="15" spans="1:7" x14ac:dyDescent="0.15">
      <c r="A15" s="11" t="s">
        <v>36</v>
      </c>
      <c r="B15" s="11">
        <v>547.9</v>
      </c>
      <c r="C15" s="11" t="s">
        <v>12</v>
      </c>
      <c r="D15" s="11">
        <v>2.12</v>
      </c>
      <c r="E15" s="11">
        <v>1.1200000000000001</v>
      </c>
      <c r="F15" s="15">
        <v>1.3688629311918235</v>
      </c>
      <c r="G15" s="15">
        <v>4.6311370688081768</v>
      </c>
    </row>
    <row r="16" spans="1:7" x14ac:dyDescent="0.15">
      <c r="A16" s="11" t="s">
        <v>38</v>
      </c>
      <c r="B16" s="11">
        <v>72.5</v>
      </c>
      <c r="C16" s="11" t="s">
        <v>12</v>
      </c>
      <c r="D16" s="11">
        <v>2.15</v>
      </c>
      <c r="E16" s="11">
        <v>0.39</v>
      </c>
      <c r="F16" s="15">
        <v>6</v>
      </c>
      <c r="G16" s="15">
        <v>0</v>
      </c>
    </row>
    <row r="17" spans="1:7" x14ac:dyDescent="0.15">
      <c r="A17" s="11" t="s">
        <v>40</v>
      </c>
      <c r="B17" s="11">
        <v>421.8</v>
      </c>
      <c r="C17" s="11" t="s">
        <v>12</v>
      </c>
      <c r="D17" s="11">
        <v>2.11</v>
      </c>
      <c r="E17" s="11">
        <v>1.36</v>
      </c>
      <c r="F17" s="15">
        <v>1.7780938833570412</v>
      </c>
      <c r="G17" s="15">
        <v>4.221906116642959</v>
      </c>
    </row>
    <row r="18" spans="1:7" x14ac:dyDescent="0.15">
      <c r="A18" s="11" t="s">
        <v>42</v>
      </c>
      <c r="B18" s="11">
        <v>212.7</v>
      </c>
      <c r="C18" s="11" t="s">
        <v>12</v>
      </c>
      <c r="D18" s="11">
        <v>2.15</v>
      </c>
      <c r="E18" s="11">
        <v>0.45</v>
      </c>
      <c r="F18" s="15">
        <v>3.5260930888575461</v>
      </c>
      <c r="G18" s="15">
        <v>2.4739069111424539</v>
      </c>
    </row>
    <row r="19" spans="1:7" x14ac:dyDescent="0.15">
      <c r="A19" s="11" t="s">
        <v>44</v>
      </c>
      <c r="B19" s="11">
        <v>327</v>
      </c>
      <c r="C19" s="11" t="s">
        <v>12</v>
      </c>
      <c r="D19" s="11">
        <v>2.12</v>
      </c>
      <c r="E19" s="11">
        <v>1.29</v>
      </c>
      <c r="F19" s="15">
        <v>2.2935779816513762</v>
      </c>
      <c r="G19" s="15">
        <v>3.7064220183486238</v>
      </c>
    </row>
    <row r="20" spans="1:7" x14ac:dyDescent="0.15">
      <c r="A20" s="11" t="s">
        <v>46</v>
      </c>
      <c r="B20" s="11">
        <v>278.5</v>
      </c>
      <c r="C20" s="11" t="s">
        <v>12</v>
      </c>
      <c r="D20" s="11">
        <v>2.13</v>
      </c>
      <c r="E20" s="11">
        <v>1.68</v>
      </c>
      <c r="F20" s="15">
        <v>2.6929982046678638</v>
      </c>
      <c r="G20" s="15">
        <v>3.3070017953321362</v>
      </c>
    </row>
    <row r="21" spans="1:7" x14ac:dyDescent="0.15">
      <c r="A21" s="11" t="s">
        <v>48</v>
      </c>
      <c r="B21" s="11">
        <v>453.3</v>
      </c>
      <c r="C21" s="11" t="s">
        <v>12</v>
      </c>
      <c r="D21" s="11">
        <v>2.12</v>
      </c>
      <c r="E21" s="11">
        <v>1.94</v>
      </c>
      <c r="F21" s="15">
        <v>1.6545334215751157</v>
      </c>
      <c r="G21" s="15">
        <v>4.345466578424884</v>
      </c>
    </row>
    <row r="22" spans="1:7" x14ac:dyDescent="0.15">
      <c r="A22" s="11" t="s">
        <v>50</v>
      </c>
      <c r="B22" s="11">
        <v>109.6</v>
      </c>
      <c r="C22" s="11" t="s">
        <v>12</v>
      </c>
      <c r="D22" s="11">
        <v>2.12</v>
      </c>
      <c r="E22" s="11">
        <v>0.76</v>
      </c>
      <c r="F22" s="15">
        <v>6</v>
      </c>
      <c r="G22" s="15">
        <v>0</v>
      </c>
    </row>
    <row r="23" spans="1:7" x14ac:dyDescent="0.15">
      <c r="A23" s="11" t="s">
        <v>52</v>
      </c>
      <c r="B23" s="11">
        <v>24.3</v>
      </c>
      <c r="C23" s="11" t="s">
        <v>12</v>
      </c>
      <c r="D23" s="11">
        <v>1.97</v>
      </c>
      <c r="E23" s="11">
        <v>0.5</v>
      </c>
      <c r="F23" s="15">
        <v>6</v>
      </c>
      <c r="G23" s="15">
        <v>0</v>
      </c>
    </row>
    <row r="24" spans="1:7" x14ac:dyDescent="0.15">
      <c r="A24" s="11" t="s">
        <v>54</v>
      </c>
      <c r="B24" s="11">
        <v>431.1</v>
      </c>
      <c r="C24" s="11" t="s">
        <v>12</v>
      </c>
      <c r="D24" s="11">
        <v>2.11</v>
      </c>
      <c r="E24" s="11">
        <v>1.72</v>
      </c>
      <c r="F24" s="15">
        <v>1.7397355601948503</v>
      </c>
      <c r="G24" s="15">
        <v>4.2602644398051499</v>
      </c>
    </row>
    <row r="25" spans="1:7" x14ac:dyDescent="0.15">
      <c r="A25" s="11" t="s">
        <v>56</v>
      </c>
      <c r="B25" s="11">
        <v>107</v>
      </c>
      <c r="C25" s="11" t="s">
        <v>12</v>
      </c>
      <c r="D25" s="11">
        <v>2.15</v>
      </c>
      <c r="E25" s="11">
        <v>0.41</v>
      </c>
      <c r="F25" s="15">
        <v>6</v>
      </c>
      <c r="G25" s="15">
        <v>0</v>
      </c>
    </row>
    <row r="26" spans="1:7" x14ac:dyDescent="0.15">
      <c r="A26" s="11" t="s">
        <v>58</v>
      </c>
      <c r="B26" s="11">
        <v>9.6</v>
      </c>
      <c r="C26" s="11" t="s">
        <v>12</v>
      </c>
      <c r="D26" s="11">
        <v>2.08</v>
      </c>
      <c r="E26" s="11">
        <v>0.03</v>
      </c>
      <c r="F26" s="15">
        <v>6</v>
      </c>
      <c r="G26" s="15">
        <v>0</v>
      </c>
    </row>
    <row r="27" spans="1:7" x14ac:dyDescent="0.15">
      <c r="A27" s="11" t="s">
        <v>60</v>
      </c>
      <c r="B27" s="11">
        <v>20.3</v>
      </c>
      <c r="C27" s="11" t="s">
        <v>12</v>
      </c>
      <c r="D27" s="11">
        <v>1.8</v>
      </c>
      <c r="E27" s="11">
        <v>0.24</v>
      </c>
      <c r="F27" s="15">
        <v>6</v>
      </c>
      <c r="G27" s="15">
        <v>0</v>
      </c>
    </row>
    <row r="28" spans="1:7" x14ac:dyDescent="0.15">
      <c r="A28" s="11" t="s">
        <v>62</v>
      </c>
      <c r="B28" s="11">
        <v>134.1</v>
      </c>
      <c r="C28" s="11" t="s">
        <v>12</v>
      </c>
      <c r="D28" s="11">
        <v>2.06</v>
      </c>
      <c r="E28" s="11">
        <v>0.47</v>
      </c>
      <c r="F28" s="15">
        <v>5.592841163310962</v>
      </c>
      <c r="G28" s="15">
        <v>0.40715883668903796</v>
      </c>
    </row>
    <row r="29" spans="1:7" x14ac:dyDescent="0.15">
      <c r="A29" s="11" t="s">
        <v>64</v>
      </c>
      <c r="B29" s="11">
        <v>25.5</v>
      </c>
      <c r="C29" s="11" t="s">
        <v>12</v>
      </c>
      <c r="D29" s="11">
        <v>1.84</v>
      </c>
      <c r="E29" s="11">
        <v>0.3</v>
      </c>
      <c r="F29" s="15">
        <v>6</v>
      </c>
      <c r="G29" s="15">
        <v>0</v>
      </c>
    </row>
    <row r="30" spans="1:7" x14ac:dyDescent="0.15">
      <c r="A30" s="11" t="s">
        <v>66</v>
      </c>
      <c r="B30" s="11">
        <v>263.89999999999998</v>
      </c>
      <c r="C30" s="11" t="s">
        <v>12</v>
      </c>
      <c r="D30" s="11">
        <v>2.11</v>
      </c>
      <c r="E30" s="11">
        <v>0.86</v>
      </c>
      <c r="F30" s="15">
        <v>2.8419856006062907</v>
      </c>
      <c r="G30" s="15">
        <v>3.1580143993937093</v>
      </c>
    </row>
    <row r="31" spans="1:7" x14ac:dyDescent="0.15">
      <c r="A31" s="11" t="s">
        <v>68</v>
      </c>
      <c r="B31" s="11">
        <v>338</v>
      </c>
      <c r="C31" s="11" t="s">
        <v>12</v>
      </c>
      <c r="D31" s="11">
        <v>2.13</v>
      </c>
      <c r="E31" s="11">
        <v>1.37</v>
      </c>
      <c r="F31" s="15">
        <v>2.2189349112426036</v>
      </c>
      <c r="G31" s="15">
        <v>3.7810650887573964</v>
      </c>
    </row>
    <row r="32" spans="1:7" x14ac:dyDescent="0.15">
      <c r="A32" s="11" t="s">
        <v>70</v>
      </c>
      <c r="B32" s="11">
        <v>531.79999999999995</v>
      </c>
      <c r="C32" s="11" t="s">
        <v>12</v>
      </c>
      <c r="D32" s="11">
        <v>2.12</v>
      </c>
      <c r="E32" s="11">
        <v>1.28</v>
      </c>
      <c r="F32" s="15">
        <v>1.4103046257991727</v>
      </c>
      <c r="G32" s="15">
        <v>4.5896953742008275</v>
      </c>
    </row>
    <row r="33" spans="1:7" x14ac:dyDescent="0.15">
      <c r="A33" s="11" t="s">
        <v>72</v>
      </c>
      <c r="B33" s="11">
        <v>145.80000000000001</v>
      </c>
      <c r="C33" s="11" t="s">
        <v>12</v>
      </c>
      <c r="D33" s="11">
        <v>2.09</v>
      </c>
      <c r="E33" s="11">
        <v>0.53</v>
      </c>
      <c r="F33" s="15">
        <v>5.144032921810699</v>
      </c>
      <c r="G33" s="15">
        <v>0.85596707818930096</v>
      </c>
    </row>
    <row r="34" spans="1:7" x14ac:dyDescent="0.15">
      <c r="A34" s="11" t="s">
        <v>216</v>
      </c>
      <c r="B34" s="11">
        <v>174.8</v>
      </c>
      <c r="C34" s="11" t="s">
        <v>12</v>
      </c>
      <c r="D34" s="11">
        <v>2.0299999999999998</v>
      </c>
      <c r="E34" s="11">
        <v>0.75</v>
      </c>
      <c r="F34" s="15">
        <v>4.2906178489702516</v>
      </c>
      <c r="G34" s="15">
        <v>1.7093821510297484</v>
      </c>
    </row>
    <row r="35" spans="1:7" x14ac:dyDescent="0.15">
      <c r="A35" s="11" t="s">
        <v>218</v>
      </c>
      <c r="B35" s="11">
        <v>202</v>
      </c>
      <c r="C35" s="11" t="s">
        <v>12</v>
      </c>
      <c r="D35" s="11">
        <v>1.62</v>
      </c>
      <c r="E35" s="11">
        <v>0.63</v>
      </c>
      <c r="F35" s="15">
        <v>3.7128712871287131</v>
      </c>
      <c r="G35" s="15">
        <v>2.2871287128712869</v>
      </c>
    </row>
    <row r="36" spans="1:7" x14ac:dyDescent="0.15">
      <c r="A36" s="11" t="s">
        <v>191</v>
      </c>
      <c r="B36" s="11">
        <v>137.80000000000001</v>
      </c>
      <c r="C36" s="11" t="s">
        <v>12</v>
      </c>
      <c r="D36" s="11">
        <v>2.12</v>
      </c>
      <c r="E36" s="11">
        <v>0.6</v>
      </c>
      <c r="F36" s="15">
        <v>5.4426705370101596</v>
      </c>
      <c r="G36" s="15">
        <v>0.55732946298984043</v>
      </c>
    </row>
    <row r="37" spans="1:7" x14ac:dyDescent="0.15">
      <c r="A37" s="11" t="s">
        <v>193</v>
      </c>
      <c r="B37" s="11">
        <v>117.7</v>
      </c>
      <c r="C37" s="11" t="s">
        <v>12</v>
      </c>
      <c r="D37" s="11">
        <v>2.15</v>
      </c>
      <c r="E37" s="11">
        <v>0.87</v>
      </c>
      <c r="F37" s="15">
        <v>6</v>
      </c>
      <c r="G37" s="15">
        <v>0</v>
      </c>
    </row>
    <row r="38" spans="1:7" x14ac:dyDescent="0.15">
      <c r="A38" s="11" t="s">
        <v>195</v>
      </c>
      <c r="B38" s="11">
        <v>137.30000000000001</v>
      </c>
      <c r="C38" s="11" t="s">
        <v>12</v>
      </c>
      <c r="D38" s="11">
        <v>2.17</v>
      </c>
      <c r="E38" s="11">
        <v>2.0699999999999998</v>
      </c>
      <c r="F38" s="15">
        <v>5.4624908958485063</v>
      </c>
      <c r="G38" s="15">
        <v>0.53750910415149367</v>
      </c>
    </row>
    <row r="39" spans="1:7" x14ac:dyDescent="0.15">
      <c r="A39" s="11" t="s">
        <v>220</v>
      </c>
      <c r="B39" s="11">
        <v>437</v>
      </c>
      <c r="C39" s="11" t="s">
        <v>12</v>
      </c>
      <c r="D39" s="11">
        <v>2.13</v>
      </c>
      <c r="E39" s="11">
        <v>1.43</v>
      </c>
      <c r="F39" s="15">
        <v>1.7162471395881007</v>
      </c>
      <c r="G39" s="15">
        <v>4.2837528604118997</v>
      </c>
    </row>
    <row r="40" spans="1:7" x14ac:dyDescent="0.15">
      <c r="A40" s="11" t="s">
        <v>211</v>
      </c>
      <c r="B40" s="11">
        <v>194</v>
      </c>
      <c r="C40" s="11" t="s">
        <v>12</v>
      </c>
      <c r="D40" s="11">
        <v>1.49</v>
      </c>
      <c r="E40" s="11">
        <v>1.1100000000000001</v>
      </c>
      <c r="F40" s="15">
        <v>3.865979381443299</v>
      </c>
      <c r="G40" s="15">
        <v>2.134020618556701</v>
      </c>
    </row>
    <row r="41" spans="1:7" x14ac:dyDescent="0.15">
      <c r="A41" s="11" t="s">
        <v>212</v>
      </c>
      <c r="B41" s="11">
        <v>132.5</v>
      </c>
      <c r="C41" s="11" t="s">
        <v>12</v>
      </c>
      <c r="D41" s="11">
        <v>1.57</v>
      </c>
      <c r="E41" s="11">
        <v>0.98</v>
      </c>
      <c r="F41" s="15">
        <v>5.6603773584905657</v>
      </c>
      <c r="G41" s="15">
        <v>0.33962264150943433</v>
      </c>
    </row>
    <row r="42" spans="1:7" x14ac:dyDescent="0.15">
      <c r="A42" s="11" t="s">
        <v>224</v>
      </c>
      <c r="B42" s="11">
        <v>243.8</v>
      </c>
      <c r="C42" s="11" t="s">
        <v>12</v>
      </c>
      <c r="D42" s="11">
        <v>2.08</v>
      </c>
      <c r="E42" s="11">
        <v>1.65</v>
      </c>
      <c r="F42" s="15">
        <v>3.0762920426579163</v>
      </c>
      <c r="G42" s="15">
        <v>2.9237079573420837</v>
      </c>
    </row>
    <row r="43" spans="1:7" x14ac:dyDescent="0.15">
      <c r="A43" s="11" t="s">
        <v>226</v>
      </c>
      <c r="B43" s="11">
        <v>290.39999999999998</v>
      </c>
      <c r="C43" s="11" t="s">
        <v>12</v>
      </c>
      <c r="D43" s="11">
        <v>1.38</v>
      </c>
      <c r="E43" s="11">
        <v>1.3</v>
      </c>
      <c r="F43" s="15">
        <v>2.5826446280991737</v>
      </c>
      <c r="G43" s="15">
        <v>3.4173553719008263</v>
      </c>
    </row>
    <row r="44" spans="1:7" x14ac:dyDescent="0.15">
      <c r="A44" s="11" t="s">
        <v>228</v>
      </c>
      <c r="B44" s="11">
        <v>267</v>
      </c>
      <c r="C44" s="11" t="s">
        <v>12</v>
      </c>
      <c r="D44" s="11">
        <v>1.74</v>
      </c>
      <c r="E44" s="11">
        <v>0.47</v>
      </c>
      <c r="F44" s="15">
        <v>2.808988764044944</v>
      </c>
      <c r="G44" s="15">
        <v>3.191011235955056</v>
      </c>
    </row>
    <row r="45" spans="1:7" x14ac:dyDescent="0.15">
      <c r="A45" s="11" t="s">
        <v>230</v>
      </c>
      <c r="B45" s="11">
        <v>119.1</v>
      </c>
      <c r="C45" s="11" t="s">
        <v>12</v>
      </c>
      <c r="D45" s="11">
        <v>2.0699999999999998</v>
      </c>
      <c r="E45" s="11">
        <v>0.78</v>
      </c>
      <c r="F45" s="15">
        <v>6</v>
      </c>
      <c r="G45" s="15">
        <v>0</v>
      </c>
    </row>
    <row r="46" spans="1:7" x14ac:dyDescent="0.15">
      <c r="A46" s="11" t="s">
        <v>232</v>
      </c>
      <c r="B46" s="11">
        <v>301.60000000000002</v>
      </c>
      <c r="C46" s="11" t="s">
        <v>12</v>
      </c>
      <c r="D46" s="11">
        <v>2.09</v>
      </c>
      <c r="E46" s="11">
        <v>1.03</v>
      </c>
      <c r="F46" s="15">
        <v>2.4867374005305036</v>
      </c>
      <c r="G46" s="15">
        <v>3.5132625994694964</v>
      </c>
    </row>
    <row r="47" spans="1:7" x14ac:dyDescent="0.15">
      <c r="A47" s="11" t="s">
        <v>234</v>
      </c>
      <c r="B47" s="11">
        <v>611</v>
      </c>
      <c r="C47" s="11" t="s">
        <v>12</v>
      </c>
      <c r="D47" s="11">
        <v>2.09</v>
      </c>
      <c r="E47" s="11">
        <v>1.27</v>
      </c>
      <c r="F47" s="15">
        <v>1.2274959083469721</v>
      </c>
      <c r="G47" s="15">
        <v>4.7725040916530279</v>
      </c>
    </row>
    <row r="48" spans="1:7" x14ac:dyDescent="0.15">
      <c r="A48" s="11" t="s">
        <v>236</v>
      </c>
      <c r="B48" s="11">
        <v>210.4</v>
      </c>
      <c r="C48" s="11" t="s">
        <v>12</v>
      </c>
      <c r="D48" s="11">
        <v>2.11</v>
      </c>
      <c r="E48" s="11">
        <v>0.98</v>
      </c>
      <c r="F48" s="15">
        <v>3.5646387832699618</v>
      </c>
      <c r="G48" s="15">
        <v>2.4353612167300382</v>
      </c>
    </row>
    <row r="49" spans="1:7" x14ac:dyDescent="0.15">
      <c r="A49" s="11" t="s">
        <v>238</v>
      </c>
      <c r="B49" s="11">
        <v>441.6</v>
      </c>
      <c r="C49" s="11" t="s">
        <v>12</v>
      </c>
      <c r="D49" s="11">
        <v>2.12</v>
      </c>
      <c r="E49" s="11">
        <v>1.59</v>
      </c>
      <c r="F49" s="15">
        <v>1.6983695652173911</v>
      </c>
      <c r="G49" s="15">
        <v>4.3016304347826093</v>
      </c>
    </row>
    <row r="50" spans="1:7" x14ac:dyDescent="0.15">
      <c r="A50" s="11" t="s">
        <v>240</v>
      </c>
      <c r="B50" s="11">
        <v>929.4</v>
      </c>
      <c r="C50" s="11" t="s">
        <v>12</v>
      </c>
      <c r="D50" s="11">
        <v>2.08</v>
      </c>
      <c r="E50" s="11">
        <v>0.92</v>
      </c>
      <c r="F50" s="15">
        <v>0.80697224015493874</v>
      </c>
      <c r="G50" s="15">
        <v>5.1930277598450614</v>
      </c>
    </row>
    <row r="51" spans="1:7" x14ac:dyDescent="0.15">
      <c r="A51" s="11" t="s">
        <v>74</v>
      </c>
      <c r="B51" s="11">
        <v>510.5</v>
      </c>
      <c r="C51" s="11" t="s">
        <v>12</v>
      </c>
      <c r="D51" s="11">
        <v>2.16</v>
      </c>
      <c r="E51" s="11">
        <v>0.74</v>
      </c>
      <c r="F51" s="15">
        <v>1.4691478942213516</v>
      </c>
      <c r="G51" s="15">
        <v>4.5308521057786484</v>
      </c>
    </row>
    <row r="52" spans="1:7" x14ac:dyDescent="0.15">
      <c r="A52" s="11" t="s">
        <v>76</v>
      </c>
      <c r="B52" s="11">
        <v>437.7</v>
      </c>
      <c r="C52" s="11" t="s">
        <v>12</v>
      </c>
      <c r="D52" s="11">
        <v>2.15</v>
      </c>
      <c r="E52" s="11">
        <v>1.71</v>
      </c>
      <c r="F52" s="15">
        <v>1.7135023989033584</v>
      </c>
      <c r="G52" s="15">
        <v>4.2864976010966416</v>
      </c>
    </row>
    <row r="53" spans="1:7" x14ac:dyDescent="0.15">
      <c r="A53" s="11" t="s">
        <v>78</v>
      </c>
      <c r="B53" s="11">
        <v>545.4</v>
      </c>
      <c r="C53" s="11" t="s">
        <v>12</v>
      </c>
      <c r="D53" s="11">
        <v>2.04</v>
      </c>
      <c r="E53" s="11">
        <v>1.33</v>
      </c>
      <c r="F53" s="15">
        <v>1.3751375137513753</v>
      </c>
      <c r="G53" s="15">
        <v>4.6248624862486247</v>
      </c>
    </row>
    <row r="54" spans="1:7" x14ac:dyDescent="0.15">
      <c r="A54" s="11" t="s">
        <v>80</v>
      </c>
      <c r="B54" s="11">
        <v>370.7</v>
      </c>
      <c r="C54" s="11" t="s">
        <v>12</v>
      </c>
      <c r="D54" s="11">
        <v>2.08</v>
      </c>
      <c r="E54" s="11">
        <v>1.47</v>
      </c>
      <c r="F54" s="15">
        <v>2.0231993525762073</v>
      </c>
      <c r="G54" s="15">
        <v>3.9768006474237927</v>
      </c>
    </row>
    <row r="55" spans="1:7" x14ac:dyDescent="0.15">
      <c r="A55" s="11" t="s">
        <v>82</v>
      </c>
      <c r="B55" s="11">
        <v>412.4</v>
      </c>
      <c r="C55" s="11" t="s">
        <v>12</v>
      </c>
      <c r="D55" s="11">
        <v>1.87</v>
      </c>
      <c r="E55" s="11">
        <v>1.86</v>
      </c>
      <c r="F55" s="15">
        <v>1.8186226964112513</v>
      </c>
      <c r="G55" s="15">
        <v>4.1813773035887483</v>
      </c>
    </row>
    <row r="56" spans="1:7" x14ac:dyDescent="0.15">
      <c r="A56" s="11" t="s">
        <v>84</v>
      </c>
      <c r="B56" s="11">
        <v>376.1</v>
      </c>
      <c r="C56" s="11" t="s">
        <v>12</v>
      </c>
      <c r="D56" s="11">
        <v>1.78</v>
      </c>
      <c r="E56" s="11">
        <v>0.85</v>
      </c>
      <c r="F56" s="15">
        <v>1.9941504918904545</v>
      </c>
      <c r="G56" s="15">
        <v>4.0058495081095451</v>
      </c>
    </row>
    <row r="57" spans="1:7" x14ac:dyDescent="0.15">
      <c r="A57" s="11" t="s">
        <v>86</v>
      </c>
      <c r="B57" s="11">
        <v>281</v>
      </c>
      <c r="C57" s="11" t="s">
        <v>12</v>
      </c>
      <c r="D57" s="11">
        <v>1.59</v>
      </c>
      <c r="E57" s="11">
        <v>2.14</v>
      </c>
      <c r="F57" s="15">
        <v>2.6690391459074734</v>
      </c>
      <c r="G57" s="15">
        <v>3.3309608540925266</v>
      </c>
    </row>
    <row r="58" spans="1:7" x14ac:dyDescent="0.15">
      <c r="A58" s="11" t="s">
        <v>88</v>
      </c>
      <c r="B58" s="11">
        <v>457.1</v>
      </c>
      <c r="C58" s="11" t="s">
        <v>12</v>
      </c>
      <c r="D58" s="11">
        <v>2</v>
      </c>
      <c r="E58" s="11">
        <v>1.28</v>
      </c>
      <c r="F58" s="15">
        <v>1.6407788230146576</v>
      </c>
      <c r="G58" s="15">
        <v>4.3592211769853426</v>
      </c>
    </row>
    <row r="59" spans="1:7" x14ac:dyDescent="0.15">
      <c r="A59" s="11" t="s">
        <v>90</v>
      </c>
      <c r="B59" s="11">
        <v>520</v>
      </c>
      <c r="C59" s="11" t="s">
        <v>12</v>
      </c>
      <c r="D59" s="11">
        <v>2.12</v>
      </c>
      <c r="E59" s="11">
        <v>1.23</v>
      </c>
      <c r="F59" s="15">
        <v>1.4423076923076923</v>
      </c>
      <c r="G59" s="15">
        <v>4.5576923076923075</v>
      </c>
    </row>
    <row r="60" spans="1:7" x14ac:dyDescent="0.15">
      <c r="A60" s="11" t="s">
        <v>92</v>
      </c>
      <c r="B60" s="11">
        <v>321.60000000000002</v>
      </c>
      <c r="C60" s="11" t="s">
        <v>12</v>
      </c>
      <c r="D60" s="11">
        <v>1.99</v>
      </c>
      <c r="E60" s="11">
        <v>0.84</v>
      </c>
      <c r="F60" s="15">
        <v>2.3320895522388057</v>
      </c>
      <c r="G60" s="15">
        <v>3.6679104477611943</v>
      </c>
    </row>
    <row r="61" spans="1:7" x14ac:dyDescent="0.15">
      <c r="A61" s="11" t="s">
        <v>94</v>
      </c>
      <c r="B61" s="11">
        <v>436.9</v>
      </c>
      <c r="C61" s="11" t="s">
        <v>12</v>
      </c>
      <c r="D61" s="11">
        <v>1.69</v>
      </c>
      <c r="E61" s="11">
        <v>1.54</v>
      </c>
      <c r="F61" s="15">
        <v>1.7166399633783476</v>
      </c>
      <c r="G61" s="15">
        <v>4.2833600366216524</v>
      </c>
    </row>
    <row r="62" spans="1:7" x14ac:dyDescent="0.15">
      <c r="A62" s="11" t="s">
        <v>96</v>
      </c>
      <c r="B62" s="11">
        <v>798.9</v>
      </c>
      <c r="C62" s="11" t="s">
        <v>12</v>
      </c>
      <c r="D62" s="11">
        <v>2.0299999999999998</v>
      </c>
      <c r="E62" s="11">
        <v>2.2200000000000002</v>
      </c>
      <c r="F62" s="15">
        <v>0.93879083740142699</v>
      </c>
      <c r="G62" s="15">
        <v>5.0612091625985727</v>
      </c>
    </row>
    <row r="63" spans="1:7" x14ac:dyDescent="0.15">
      <c r="A63" s="11" t="s">
        <v>98</v>
      </c>
      <c r="B63" s="11">
        <v>314.5</v>
      </c>
      <c r="C63" s="11" t="s">
        <v>12</v>
      </c>
      <c r="D63" s="11">
        <v>1.51</v>
      </c>
      <c r="E63" s="11">
        <v>1.43</v>
      </c>
      <c r="F63" s="15">
        <v>2.3847376788553261</v>
      </c>
      <c r="G63" s="15">
        <v>3.6152623211446739</v>
      </c>
    </row>
    <row r="64" spans="1:7" x14ac:dyDescent="0.15">
      <c r="A64" s="11" t="s">
        <v>100</v>
      </c>
      <c r="B64" s="11">
        <v>132</v>
      </c>
      <c r="C64" s="11" t="s">
        <v>12</v>
      </c>
      <c r="D64" s="11">
        <v>2.16</v>
      </c>
      <c r="E64" s="11">
        <v>0.75</v>
      </c>
      <c r="F64" s="15">
        <v>5.6818181818181817</v>
      </c>
      <c r="G64" s="15">
        <v>0.31818181818181834</v>
      </c>
    </row>
    <row r="65" spans="1:7" x14ac:dyDescent="0.15">
      <c r="A65" s="11" t="s">
        <v>102</v>
      </c>
      <c r="B65" s="11">
        <v>326.89999999999998</v>
      </c>
      <c r="C65" s="11" t="s">
        <v>12</v>
      </c>
      <c r="D65" s="11">
        <v>1.68</v>
      </c>
      <c r="E65" s="11">
        <v>2.46</v>
      </c>
      <c r="F65" s="15">
        <v>2.294279596206791</v>
      </c>
      <c r="G65" s="15">
        <v>3.705720403793209</v>
      </c>
    </row>
    <row r="66" spans="1:7" x14ac:dyDescent="0.15">
      <c r="A66" s="11" t="s">
        <v>103</v>
      </c>
      <c r="B66" s="11">
        <v>556.5</v>
      </c>
      <c r="C66" s="11" t="s">
        <v>12</v>
      </c>
      <c r="D66" s="11">
        <v>1.73</v>
      </c>
      <c r="E66" s="11">
        <v>2.09</v>
      </c>
      <c r="F66" s="15">
        <v>1.3477088948787062</v>
      </c>
      <c r="G66" s="15">
        <v>4.6522911051212938</v>
      </c>
    </row>
    <row r="67" spans="1:7" x14ac:dyDescent="0.15">
      <c r="A67" s="11" t="s">
        <v>105</v>
      </c>
      <c r="B67" s="11">
        <v>725</v>
      </c>
      <c r="C67" s="11" t="s">
        <v>12</v>
      </c>
      <c r="D67" s="11">
        <v>1.88</v>
      </c>
      <c r="E67" s="11">
        <v>1.89</v>
      </c>
      <c r="F67" s="15">
        <v>1.0344827586206897</v>
      </c>
      <c r="G67" s="15">
        <v>4.9655172413793105</v>
      </c>
    </row>
    <row r="68" spans="1:7" x14ac:dyDescent="0.15">
      <c r="A68" s="11" t="s">
        <v>107</v>
      </c>
      <c r="B68" s="11">
        <v>492.4</v>
      </c>
      <c r="C68" s="11" t="s">
        <v>12</v>
      </c>
      <c r="D68" s="11">
        <v>1.85</v>
      </c>
      <c r="E68" s="11">
        <v>1.17</v>
      </c>
      <c r="F68" s="15">
        <v>1.5231519090170593</v>
      </c>
      <c r="G68" s="15">
        <v>4.4768480909829407</v>
      </c>
    </row>
    <row r="69" spans="1:7" x14ac:dyDescent="0.15">
      <c r="A69" s="19" t="s">
        <v>109</v>
      </c>
      <c r="B69" s="19">
        <v>124.8</v>
      </c>
      <c r="C69" s="19" t="s">
        <v>12</v>
      </c>
      <c r="D69" s="19">
        <v>2.12</v>
      </c>
      <c r="E69" s="19">
        <v>0.85</v>
      </c>
      <c r="F69" s="15">
        <v>6</v>
      </c>
      <c r="G69" s="15">
        <v>0</v>
      </c>
    </row>
    <row r="70" spans="1:7" x14ac:dyDescent="0.15">
      <c r="A70" s="11" t="s">
        <v>110</v>
      </c>
      <c r="B70" s="11">
        <v>80.5</v>
      </c>
      <c r="C70" s="11" t="s">
        <v>12</v>
      </c>
      <c r="D70" s="11">
        <v>2.11</v>
      </c>
      <c r="E70" s="11">
        <v>0.66</v>
      </c>
      <c r="F70" s="15">
        <v>6</v>
      </c>
      <c r="G70" s="15">
        <v>0</v>
      </c>
    </row>
    <row r="71" spans="1:7" x14ac:dyDescent="0.15">
      <c r="A71" s="19" t="s">
        <v>111</v>
      </c>
      <c r="B71" s="19">
        <v>3.2</v>
      </c>
      <c r="C71" s="19" t="s">
        <v>12</v>
      </c>
      <c r="D71" s="19">
        <v>1.86</v>
      </c>
      <c r="E71" s="19">
        <v>0.09</v>
      </c>
      <c r="F71" s="15">
        <v>6</v>
      </c>
      <c r="G71" s="15">
        <v>0</v>
      </c>
    </row>
    <row r="72" spans="1:7" x14ac:dyDescent="0.15">
      <c r="A72" s="11" t="s">
        <v>113</v>
      </c>
      <c r="B72" s="11">
        <v>465.5</v>
      </c>
      <c r="C72" s="11" t="s">
        <v>12</v>
      </c>
      <c r="D72" s="11">
        <v>1.46</v>
      </c>
      <c r="E72" s="11">
        <v>2.27</v>
      </c>
      <c r="F72" s="15">
        <v>1.6111707841031149</v>
      </c>
      <c r="G72" s="15">
        <v>4.3888292158968856</v>
      </c>
    </row>
    <row r="73" spans="1:7" x14ac:dyDescent="0.15">
      <c r="A73" s="11" t="s">
        <v>115</v>
      </c>
      <c r="B73" s="11">
        <v>322.3</v>
      </c>
      <c r="C73" s="11" t="s">
        <v>12</v>
      </c>
      <c r="D73" s="11">
        <v>1.96</v>
      </c>
      <c r="E73" s="11">
        <v>1.59</v>
      </c>
      <c r="F73" s="15">
        <v>2.3270245113248524</v>
      </c>
      <c r="G73" s="15">
        <v>3.6729754886751476</v>
      </c>
    </row>
    <row r="74" spans="1:7" x14ac:dyDescent="0.15">
      <c r="A74" s="11" t="s">
        <v>117</v>
      </c>
      <c r="B74" s="11">
        <v>269.89999999999998</v>
      </c>
      <c r="C74" s="11" t="s">
        <v>12</v>
      </c>
      <c r="D74" s="11">
        <v>1.63</v>
      </c>
      <c r="E74" s="11">
        <v>1.28</v>
      </c>
      <c r="F74" s="15">
        <v>2.778806965542794</v>
      </c>
      <c r="G74" s="15">
        <v>3.221193034457206</v>
      </c>
    </row>
    <row r="75" spans="1:7" x14ac:dyDescent="0.15">
      <c r="A75" s="11" t="s">
        <v>119</v>
      </c>
      <c r="B75" s="11">
        <v>639</v>
      </c>
      <c r="C75" s="11" t="s">
        <v>12</v>
      </c>
      <c r="D75" s="11">
        <v>1.66</v>
      </c>
      <c r="E75" s="11">
        <v>2.35</v>
      </c>
      <c r="F75" s="15">
        <v>1.1737089201877935</v>
      </c>
      <c r="G75" s="15">
        <v>4.8262910798122061</v>
      </c>
    </row>
    <row r="76" spans="1:7" x14ac:dyDescent="0.15">
      <c r="A76" s="11" t="s">
        <v>120</v>
      </c>
      <c r="B76" s="11">
        <v>139.80000000000001</v>
      </c>
      <c r="C76" s="11" t="s">
        <v>12</v>
      </c>
      <c r="D76" s="11">
        <v>2.15</v>
      </c>
      <c r="E76" s="11">
        <v>0.52</v>
      </c>
      <c r="F76" s="15">
        <v>5.3648068669527893</v>
      </c>
      <c r="G76" s="15">
        <v>0.6351931330472107</v>
      </c>
    </row>
    <row r="77" spans="1:7" x14ac:dyDescent="0.15">
      <c r="A77" s="11" t="s">
        <v>122</v>
      </c>
      <c r="B77" s="11">
        <v>333</v>
      </c>
      <c r="C77" s="11" t="s">
        <v>12</v>
      </c>
      <c r="D77" s="11">
        <v>2.11</v>
      </c>
      <c r="E77" s="11">
        <v>1.04</v>
      </c>
      <c r="F77" s="15">
        <v>2.2522522522522523</v>
      </c>
      <c r="G77" s="15">
        <v>3.7477477477477477</v>
      </c>
    </row>
    <row r="78" spans="1:7" x14ac:dyDescent="0.15">
      <c r="A78" s="11" t="s">
        <v>123</v>
      </c>
      <c r="B78" s="11">
        <v>97.2</v>
      </c>
      <c r="C78" s="11" t="s">
        <v>12</v>
      </c>
      <c r="D78" s="11">
        <v>2.1800000000000002</v>
      </c>
      <c r="E78" s="11">
        <v>0.35</v>
      </c>
      <c r="F78" s="15">
        <v>6</v>
      </c>
      <c r="G78" s="15">
        <v>0</v>
      </c>
    </row>
    <row r="79" spans="1:7" x14ac:dyDescent="0.15">
      <c r="A79" s="11" t="s">
        <v>124</v>
      </c>
      <c r="B79" s="11">
        <v>471.5</v>
      </c>
      <c r="C79" s="11" t="s">
        <v>12</v>
      </c>
      <c r="D79" s="11">
        <v>2.12</v>
      </c>
      <c r="E79" s="11">
        <v>0.92</v>
      </c>
      <c r="F79" s="15">
        <v>1.5906680805938493</v>
      </c>
      <c r="G79" s="15">
        <v>4.4093319194061511</v>
      </c>
    </row>
    <row r="80" spans="1:7" x14ac:dyDescent="0.15">
      <c r="A80" s="11" t="s">
        <v>126</v>
      </c>
      <c r="B80" s="11">
        <v>347.2</v>
      </c>
      <c r="C80" s="11" t="s">
        <v>12</v>
      </c>
      <c r="D80" s="11">
        <v>2.02</v>
      </c>
      <c r="E80" s="11">
        <v>0.98</v>
      </c>
      <c r="F80" s="15">
        <v>2.1601382488479262</v>
      </c>
      <c r="G80" s="15">
        <v>3.8398617511520738</v>
      </c>
    </row>
    <row r="81" spans="1:7" x14ac:dyDescent="0.15">
      <c r="A81" s="11" t="s">
        <v>127</v>
      </c>
      <c r="B81" s="11">
        <v>137.4</v>
      </c>
      <c r="C81" s="11" t="s">
        <v>12</v>
      </c>
      <c r="D81" s="11">
        <v>2.02</v>
      </c>
      <c r="E81" s="11">
        <v>0.71</v>
      </c>
      <c r="F81" s="15">
        <v>5.4585152838427948</v>
      </c>
      <c r="G81" s="15">
        <v>0.54148471615720517</v>
      </c>
    </row>
    <row r="82" spans="1:7" x14ac:dyDescent="0.15">
      <c r="A82" s="11" t="s">
        <v>129</v>
      </c>
      <c r="B82" s="11">
        <v>559.29999999999995</v>
      </c>
      <c r="C82" s="11" t="s">
        <v>12</v>
      </c>
      <c r="D82" s="11">
        <v>1.65</v>
      </c>
      <c r="E82" s="11">
        <v>1.33</v>
      </c>
      <c r="F82" s="15">
        <v>1.3409619166815663</v>
      </c>
      <c r="G82" s="15">
        <v>4.6590380833184337</v>
      </c>
    </row>
    <row r="83" spans="1:7" x14ac:dyDescent="0.15">
      <c r="A83" s="11" t="s">
        <v>131</v>
      </c>
      <c r="B83" s="11">
        <v>533.29999999999995</v>
      </c>
      <c r="C83" s="11" t="s">
        <v>12</v>
      </c>
      <c r="D83" s="11">
        <v>1.72</v>
      </c>
      <c r="E83" s="11">
        <v>1.69</v>
      </c>
      <c r="F83" s="15">
        <v>1.4063378961185076</v>
      </c>
      <c r="G83" s="15">
        <v>4.593662103881492</v>
      </c>
    </row>
    <row r="84" spans="1:7" x14ac:dyDescent="0.15">
      <c r="A84" s="11" t="s">
        <v>133</v>
      </c>
      <c r="B84" s="11">
        <v>254</v>
      </c>
      <c r="C84" s="11" t="s">
        <v>12</v>
      </c>
      <c r="D84" s="11">
        <v>1.68</v>
      </c>
      <c r="E84" s="11">
        <v>1.49</v>
      </c>
      <c r="F84" s="15">
        <v>2.9527559055118111</v>
      </c>
      <c r="G84" s="15">
        <v>3.0472440944881889</v>
      </c>
    </row>
    <row r="85" spans="1:7" x14ac:dyDescent="0.15">
      <c r="A85" s="11" t="s">
        <v>134</v>
      </c>
      <c r="B85" s="11">
        <v>388.4</v>
      </c>
      <c r="C85" s="11" t="s">
        <v>12</v>
      </c>
      <c r="D85" s="11">
        <v>2.14</v>
      </c>
      <c r="E85" s="11">
        <v>0.91</v>
      </c>
      <c r="F85" s="15">
        <v>1.9309989701338828</v>
      </c>
      <c r="G85" s="15">
        <v>4.0690010298661168</v>
      </c>
    </row>
    <row r="86" spans="1:7" x14ac:dyDescent="0.15">
      <c r="A86" s="11" t="s">
        <v>135</v>
      </c>
      <c r="B86" s="11">
        <v>95.5</v>
      </c>
      <c r="C86" s="11" t="s">
        <v>12</v>
      </c>
      <c r="D86" s="11">
        <v>2.17</v>
      </c>
      <c r="E86" s="11">
        <v>0.85</v>
      </c>
      <c r="F86" s="15">
        <v>6</v>
      </c>
      <c r="G86" s="15">
        <v>0</v>
      </c>
    </row>
    <row r="87" spans="1:7" x14ac:dyDescent="0.15">
      <c r="A87" s="11" t="s">
        <v>136</v>
      </c>
      <c r="B87" s="11">
        <v>296.8</v>
      </c>
      <c r="C87" s="11" t="s">
        <v>12</v>
      </c>
      <c r="D87" s="11">
        <v>2.08</v>
      </c>
      <c r="E87" s="11">
        <v>1.51</v>
      </c>
      <c r="F87" s="15">
        <v>2.5269541778975739</v>
      </c>
      <c r="G87" s="15">
        <v>3.4730458221024261</v>
      </c>
    </row>
    <row r="88" spans="1:7" x14ac:dyDescent="0.15">
      <c r="A88" s="11" t="s">
        <v>137</v>
      </c>
      <c r="B88" s="11">
        <v>5</v>
      </c>
      <c r="C88" s="11" t="s">
        <v>12</v>
      </c>
      <c r="D88" s="11">
        <v>1.66</v>
      </c>
      <c r="E88" s="11">
        <v>0.08</v>
      </c>
      <c r="F88" s="15">
        <v>6</v>
      </c>
      <c r="G88" s="15">
        <v>0</v>
      </c>
    </row>
    <row r="89" spans="1:7" x14ac:dyDescent="0.15">
      <c r="A89" s="11" t="s">
        <v>139</v>
      </c>
      <c r="B89" s="11">
        <v>403.8</v>
      </c>
      <c r="C89" s="11" t="s">
        <v>12</v>
      </c>
      <c r="D89" s="11">
        <v>2.12</v>
      </c>
      <c r="E89" s="11">
        <v>1.23</v>
      </c>
      <c r="F89" s="15">
        <v>1.8573551263001484</v>
      </c>
      <c r="G89" s="15">
        <v>4.1426448736998518</v>
      </c>
    </row>
    <row r="90" spans="1:7" x14ac:dyDescent="0.15">
      <c r="A90" s="11" t="s">
        <v>141</v>
      </c>
      <c r="B90" s="11">
        <v>479.3</v>
      </c>
      <c r="C90" s="11" t="s">
        <v>12</v>
      </c>
      <c r="D90" s="11">
        <v>1.78</v>
      </c>
      <c r="E90" s="11">
        <v>2.09</v>
      </c>
      <c r="F90" s="15">
        <v>1.5647819737116628</v>
      </c>
      <c r="G90" s="15">
        <v>4.4352180262883376</v>
      </c>
    </row>
    <row r="91" spans="1:7" x14ac:dyDescent="0.15">
      <c r="A91" s="11" t="s">
        <v>143</v>
      </c>
      <c r="B91" s="11">
        <v>393.6</v>
      </c>
      <c r="C91" s="11" t="s">
        <v>12</v>
      </c>
      <c r="D91" s="11">
        <v>1.89</v>
      </c>
      <c r="E91" s="11">
        <v>0.82</v>
      </c>
      <c r="F91" s="15">
        <v>1.9054878048780486</v>
      </c>
      <c r="G91" s="15">
        <v>4.0945121951219514</v>
      </c>
    </row>
    <row r="92" spans="1:7" x14ac:dyDescent="0.15">
      <c r="A92" s="11" t="s">
        <v>145</v>
      </c>
      <c r="B92" s="11">
        <v>201.3</v>
      </c>
      <c r="C92" s="11" t="s">
        <v>12</v>
      </c>
      <c r="D92" s="11">
        <v>2.13</v>
      </c>
      <c r="E92" s="11">
        <v>1.74</v>
      </c>
      <c r="F92" s="15">
        <v>3.7257824143070044</v>
      </c>
      <c r="G92" s="15">
        <v>2.2742175856929956</v>
      </c>
    </row>
    <row r="93" spans="1:7" x14ac:dyDescent="0.15">
      <c r="A93" s="11" t="s">
        <v>147</v>
      </c>
      <c r="B93" s="11">
        <v>90.4</v>
      </c>
      <c r="C93" s="11" t="s">
        <v>12</v>
      </c>
      <c r="D93" s="11">
        <v>2.0699999999999998</v>
      </c>
      <c r="E93" s="11">
        <v>1.18</v>
      </c>
      <c r="F93" s="15">
        <v>6</v>
      </c>
      <c r="G93" s="15">
        <v>0</v>
      </c>
    </row>
    <row r="94" spans="1:7" x14ac:dyDescent="0.15">
      <c r="A94" s="11" t="s">
        <v>148</v>
      </c>
      <c r="B94" s="11">
        <v>385.6</v>
      </c>
      <c r="C94" s="11" t="s">
        <v>12</v>
      </c>
      <c r="D94" s="11">
        <v>1.83</v>
      </c>
      <c r="E94" s="11">
        <v>1.36</v>
      </c>
      <c r="F94" s="15">
        <v>1.9450207468879668</v>
      </c>
      <c r="G94" s="15">
        <v>4.054979253112033</v>
      </c>
    </row>
    <row r="95" spans="1:7" x14ac:dyDescent="0.15">
      <c r="A95" s="11" t="s">
        <v>150</v>
      </c>
      <c r="B95" s="11">
        <v>389.7</v>
      </c>
      <c r="C95" s="11" t="s">
        <v>12</v>
      </c>
      <c r="D95" s="11">
        <v>1.9</v>
      </c>
      <c r="E95" s="11">
        <v>1.41</v>
      </c>
      <c r="F95" s="15">
        <v>1.9245573518090839</v>
      </c>
      <c r="G95" s="15">
        <v>4.0754426481909158</v>
      </c>
    </row>
    <row r="96" spans="1:7" x14ac:dyDescent="0.15">
      <c r="A96" s="11" t="s">
        <v>152</v>
      </c>
      <c r="B96" s="11">
        <v>474.2</v>
      </c>
      <c r="C96" s="11" t="s">
        <v>12</v>
      </c>
      <c r="D96" s="11">
        <v>2.14</v>
      </c>
      <c r="E96" s="11">
        <v>1.53</v>
      </c>
      <c r="F96" s="15">
        <v>1.5816111345423871</v>
      </c>
      <c r="G96" s="15">
        <v>4.4183888654576133</v>
      </c>
    </row>
    <row r="97" spans="1:7" x14ac:dyDescent="0.15">
      <c r="A97" s="11" t="s">
        <v>153</v>
      </c>
      <c r="B97" s="11">
        <v>382.2</v>
      </c>
      <c r="C97" s="11" t="s">
        <v>12</v>
      </c>
      <c r="D97" s="11">
        <v>1.84</v>
      </c>
      <c r="E97" s="11">
        <v>1.07</v>
      </c>
      <c r="F97" s="15">
        <v>1.9623233908948194</v>
      </c>
      <c r="G97" s="15">
        <v>4.0376766091051808</v>
      </c>
    </row>
    <row r="98" spans="1:7" x14ac:dyDescent="0.15">
      <c r="A98" s="11" t="s">
        <v>155</v>
      </c>
      <c r="B98" s="11">
        <v>455.1</v>
      </c>
      <c r="C98" s="11" t="s">
        <v>12</v>
      </c>
      <c r="D98" s="11">
        <v>1.96</v>
      </c>
      <c r="E98" s="11">
        <v>1.08</v>
      </c>
      <c r="F98" s="15">
        <v>1.6479894528675016</v>
      </c>
      <c r="G98" s="15">
        <v>4.3520105471324984</v>
      </c>
    </row>
    <row r="99" spans="1:7" x14ac:dyDescent="0.15">
      <c r="A99" s="11" t="s">
        <v>156</v>
      </c>
      <c r="B99" s="11">
        <v>439.5</v>
      </c>
      <c r="C99" s="11" t="s">
        <v>12</v>
      </c>
      <c r="D99" s="11">
        <v>1.9</v>
      </c>
      <c r="E99" s="11">
        <v>1.6</v>
      </c>
      <c r="F99" s="15">
        <v>1.7064846416382253</v>
      </c>
      <c r="G99" s="15">
        <v>4.2935153583617751</v>
      </c>
    </row>
    <row r="100" spans="1:7" x14ac:dyDescent="0.15">
      <c r="A100" s="11" t="s">
        <v>158</v>
      </c>
      <c r="B100" s="11">
        <v>288.89999999999998</v>
      </c>
      <c r="C100" s="11" t="s">
        <v>12</v>
      </c>
      <c r="D100" s="11">
        <v>1.91</v>
      </c>
      <c r="E100" s="11">
        <v>2.0299999999999998</v>
      </c>
      <c r="F100" s="15">
        <v>2.5960539979231569</v>
      </c>
      <c r="G100" s="15">
        <v>3.4039460020768431</v>
      </c>
    </row>
    <row r="101" spans="1:7" x14ac:dyDescent="0.15">
      <c r="A101" s="11" t="s">
        <v>159</v>
      </c>
      <c r="B101" s="11">
        <v>108.4</v>
      </c>
      <c r="C101" s="11" t="s">
        <v>12</v>
      </c>
      <c r="D101" s="11">
        <v>2.1</v>
      </c>
      <c r="E101" s="11">
        <v>0.91</v>
      </c>
      <c r="F101" s="15">
        <v>6</v>
      </c>
      <c r="G101" s="15">
        <v>0</v>
      </c>
    </row>
    <row r="102" spans="1:7" x14ac:dyDescent="0.15">
      <c r="A102" s="11" t="s">
        <v>161</v>
      </c>
      <c r="B102" s="11">
        <v>238.7</v>
      </c>
      <c r="C102" s="11" t="s">
        <v>12</v>
      </c>
      <c r="D102" s="11">
        <v>2.1</v>
      </c>
      <c r="E102" s="11">
        <v>1.6</v>
      </c>
      <c r="F102" s="15">
        <v>3.1420192710515291</v>
      </c>
      <c r="G102" s="15">
        <v>2.8579807289484709</v>
      </c>
    </row>
    <row r="103" spans="1:7" x14ac:dyDescent="0.15">
      <c r="A103" s="11" t="s">
        <v>163</v>
      </c>
      <c r="B103" s="11">
        <v>267.8</v>
      </c>
      <c r="C103" s="11" t="s">
        <v>12</v>
      </c>
      <c r="D103" s="11">
        <v>2.13</v>
      </c>
      <c r="E103" s="11">
        <v>2</v>
      </c>
      <c r="F103" s="15">
        <v>2.8005974607916353</v>
      </c>
      <c r="G103" s="15">
        <v>3.1994025392083647</v>
      </c>
    </row>
    <row r="104" spans="1:7" x14ac:dyDescent="0.15">
      <c r="A104" s="11" t="s">
        <v>165</v>
      </c>
      <c r="B104" s="11">
        <v>68.099999999999994</v>
      </c>
      <c r="C104" s="11" t="s">
        <v>12</v>
      </c>
      <c r="D104" s="11">
        <v>2.12</v>
      </c>
      <c r="E104" s="11">
        <v>0.61</v>
      </c>
      <c r="F104" s="15">
        <v>6</v>
      </c>
      <c r="G104" s="15">
        <v>0</v>
      </c>
    </row>
    <row r="105" spans="1:7" x14ac:dyDescent="0.15">
      <c r="A105" s="11" t="s">
        <v>167</v>
      </c>
      <c r="B105" s="11">
        <v>173.6</v>
      </c>
      <c r="C105" s="11" t="s">
        <v>12</v>
      </c>
      <c r="D105" s="11">
        <v>2.13</v>
      </c>
      <c r="E105" s="11">
        <v>1.72</v>
      </c>
      <c r="F105" s="15">
        <v>4.3202764976958523</v>
      </c>
      <c r="G105" s="15">
        <v>1.6797235023041477</v>
      </c>
    </row>
    <row r="106" spans="1:7" x14ac:dyDescent="0.15">
      <c r="A106" s="11" t="s">
        <v>169</v>
      </c>
      <c r="B106" s="11">
        <v>118.2</v>
      </c>
      <c r="C106" s="11" t="s">
        <v>12</v>
      </c>
      <c r="D106" s="11">
        <v>2.1</v>
      </c>
      <c r="E106" s="11">
        <v>1.83</v>
      </c>
      <c r="F106" s="15">
        <v>6</v>
      </c>
      <c r="G106" s="15">
        <v>0</v>
      </c>
    </row>
    <row r="107" spans="1:7" x14ac:dyDescent="0.15">
      <c r="A107" s="11" t="s">
        <v>171</v>
      </c>
      <c r="B107" s="11">
        <v>234.9</v>
      </c>
      <c r="C107" s="11" t="s">
        <v>12</v>
      </c>
      <c r="D107" s="11">
        <v>1.66</v>
      </c>
      <c r="E107" s="11">
        <v>2.63</v>
      </c>
      <c r="F107" s="15">
        <v>3.1928480204342273</v>
      </c>
      <c r="G107" s="15">
        <v>2.8071519795657727</v>
      </c>
    </row>
    <row r="108" spans="1:7" x14ac:dyDescent="0.15">
      <c r="A108" s="11" t="s">
        <v>173</v>
      </c>
      <c r="B108" s="11">
        <v>582.9</v>
      </c>
      <c r="C108" s="11" t="s">
        <v>12</v>
      </c>
      <c r="D108" s="11">
        <v>1.88</v>
      </c>
      <c r="E108" s="11">
        <v>1.44</v>
      </c>
      <c r="F108" s="15">
        <v>1.2866700977869274</v>
      </c>
      <c r="G108" s="15">
        <v>4.7133299022130721</v>
      </c>
    </row>
    <row r="109" spans="1:7" x14ac:dyDescent="0.15">
      <c r="A109" s="11" t="s">
        <v>175</v>
      </c>
      <c r="B109" s="11">
        <v>367</v>
      </c>
      <c r="C109" s="11" t="s">
        <v>12</v>
      </c>
      <c r="D109" s="11">
        <v>2.15</v>
      </c>
      <c r="E109" s="11">
        <v>1.83</v>
      </c>
      <c r="F109" s="15">
        <v>2.0435967302452318</v>
      </c>
      <c r="G109" s="15">
        <v>3.9564032697547682</v>
      </c>
    </row>
    <row r="110" spans="1:7" x14ac:dyDescent="0.15">
      <c r="A110" s="11" t="s">
        <v>177</v>
      </c>
      <c r="B110" s="11">
        <v>493</v>
      </c>
      <c r="C110" s="11" t="s">
        <v>12</v>
      </c>
      <c r="D110" s="11">
        <v>2.14</v>
      </c>
      <c r="E110" s="11">
        <v>1.48</v>
      </c>
      <c r="F110" s="15">
        <v>1.5212981744421907</v>
      </c>
      <c r="G110" s="15">
        <v>4.4787018255578097</v>
      </c>
    </row>
    <row r="111" spans="1:7" x14ac:dyDescent="0.15">
      <c r="A111" s="11" t="s">
        <v>179</v>
      </c>
      <c r="B111" s="11">
        <v>119</v>
      </c>
      <c r="C111" s="11" t="s">
        <v>12</v>
      </c>
      <c r="D111" s="11">
        <v>2.0699999999999998</v>
      </c>
      <c r="E111" s="11">
        <v>1.49</v>
      </c>
      <c r="F111" s="15">
        <v>6</v>
      </c>
      <c r="G111" s="15">
        <v>0</v>
      </c>
    </row>
    <row r="112" spans="1:7" x14ac:dyDescent="0.15">
      <c r="A112" s="11" t="s">
        <v>181</v>
      </c>
      <c r="B112" s="11">
        <v>274</v>
      </c>
      <c r="C112" s="11" t="s">
        <v>12</v>
      </c>
      <c r="D112" s="11">
        <v>2.14</v>
      </c>
      <c r="E112" s="11">
        <v>1.77</v>
      </c>
      <c r="F112" s="15">
        <v>2.7372262773722627</v>
      </c>
      <c r="G112" s="15">
        <v>3.2627737226277373</v>
      </c>
    </row>
    <row r="113" spans="1:7" x14ac:dyDescent="0.15">
      <c r="A113" s="11" t="s">
        <v>183</v>
      </c>
      <c r="B113" s="11">
        <v>311.7</v>
      </c>
      <c r="C113" s="11" t="s">
        <v>12</v>
      </c>
      <c r="D113" s="11">
        <v>1.73</v>
      </c>
      <c r="E113" s="11">
        <v>2.1800000000000002</v>
      </c>
      <c r="F113" s="15">
        <v>2.4061597690086622</v>
      </c>
      <c r="G113" s="15">
        <v>3.5938402309913378</v>
      </c>
    </row>
    <row r="114" spans="1:7" x14ac:dyDescent="0.15">
      <c r="A114" s="11" t="s">
        <v>185</v>
      </c>
      <c r="B114" s="11">
        <v>224.2</v>
      </c>
      <c r="C114" s="11" t="s">
        <v>12</v>
      </c>
      <c r="D114" s="11">
        <v>1.66</v>
      </c>
      <c r="E114" s="11">
        <v>1.95</v>
      </c>
      <c r="F114" s="15">
        <v>3.3452274754683322</v>
      </c>
      <c r="G114" s="15">
        <v>2.6547725245316678</v>
      </c>
    </row>
    <row r="115" spans="1:7" x14ac:dyDescent="0.15">
      <c r="A115" t="s">
        <v>187</v>
      </c>
      <c r="B115">
        <v>349.6</v>
      </c>
      <c r="C115" t="s">
        <v>12</v>
      </c>
      <c r="D115">
        <v>1.62</v>
      </c>
      <c r="E115">
        <v>1.24</v>
      </c>
      <c r="F115" s="15">
        <v>2.1453089244851258</v>
      </c>
      <c r="G115" s="15">
        <v>3.8546910755148742</v>
      </c>
    </row>
    <row r="116" spans="1:7" x14ac:dyDescent="0.15">
      <c r="A116" t="s">
        <v>189</v>
      </c>
      <c r="B116">
        <v>95.7</v>
      </c>
      <c r="C116" t="s">
        <v>12</v>
      </c>
      <c r="D116">
        <v>2.15</v>
      </c>
      <c r="E116">
        <v>1.61</v>
      </c>
      <c r="F116" s="15">
        <v>6</v>
      </c>
      <c r="G116" s="15">
        <v>0</v>
      </c>
    </row>
    <row r="117" spans="1:7" x14ac:dyDescent="0.15">
      <c r="A117" s="4"/>
      <c r="D117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2EED1-FCAD-CE40-8DCD-CDCE093B6ED1}">
  <dimension ref="A1:Y75"/>
  <sheetViews>
    <sheetView tabSelected="1" topLeftCell="A45" workbookViewId="0">
      <selection activeCell="C62" sqref="C62"/>
    </sheetView>
  </sheetViews>
  <sheetFormatPr baseColWidth="10" defaultRowHeight="13" x14ac:dyDescent="0.15"/>
  <cols>
    <col min="1" max="1" width="4.33203125" customWidth="1"/>
  </cols>
  <sheetData>
    <row r="1" spans="1:9" ht="17" thickBot="1" x14ac:dyDescent="0.2">
      <c r="A1" s="48"/>
      <c r="B1" s="49">
        <v>1</v>
      </c>
      <c r="C1" s="49">
        <v>2</v>
      </c>
      <c r="D1" s="49">
        <v>3</v>
      </c>
      <c r="E1" s="49">
        <v>4</v>
      </c>
      <c r="F1" s="49">
        <v>5</v>
      </c>
      <c r="G1" s="49">
        <v>6</v>
      </c>
      <c r="H1" s="49">
        <v>7</v>
      </c>
      <c r="I1" s="49">
        <v>8</v>
      </c>
    </row>
    <row r="2" spans="1:9" ht="17" thickBot="1" x14ac:dyDescent="0.2">
      <c r="A2" s="50"/>
      <c r="B2" s="51"/>
      <c r="C2" s="51"/>
      <c r="D2" s="51"/>
      <c r="E2" s="51"/>
      <c r="F2" s="51"/>
      <c r="G2" s="51"/>
      <c r="H2" s="51"/>
      <c r="I2" s="51"/>
    </row>
    <row r="3" spans="1:9" ht="16" x14ac:dyDescent="0.15">
      <c r="A3" s="56">
        <v>1</v>
      </c>
      <c r="B3" s="52" t="s">
        <v>261</v>
      </c>
      <c r="C3" s="52" t="s">
        <v>264</v>
      </c>
      <c r="D3" s="52" t="s">
        <v>267</v>
      </c>
      <c r="E3" s="52" t="s">
        <v>270</v>
      </c>
      <c r="F3" s="52" t="s">
        <v>273</v>
      </c>
      <c r="G3" s="52" t="s">
        <v>276</v>
      </c>
      <c r="H3" s="52" t="s">
        <v>277</v>
      </c>
      <c r="I3" s="52" t="s">
        <v>279</v>
      </c>
    </row>
    <row r="4" spans="1:9" ht="16" x14ac:dyDescent="0.15">
      <c r="A4" s="55"/>
      <c r="B4" s="52" t="s">
        <v>262</v>
      </c>
      <c r="C4" s="52" t="s">
        <v>265</v>
      </c>
      <c r="D4" s="52" t="s">
        <v>268</v>
      </c>
      <c r="E4" s="52" t="s">
        <v>271</v>
      </c>
      <c r="F4" s="52" t="s">
        <v>274</v>
      </c>
      <c r="G4" s="52" t="s">
        <v>268</v>
      </c>
      <c r="H4" s="52" t="s">
        <v>278</v>
      </c>
      <c r="I4" s="52" t="s">
        <v>280</v>
      </c>
    </row>
    <row r="5" spans="1:9" ht="17" thickBot="1" x14ac:dyDescent="0.2">
      <c r="A5" s="57"/>
      <c r="B5" s="53" t="s">
        <v>263</v>
      </c>
      <c r="C5" s="53" t="s">
        <v>266</v>
      </c>
      <c r="D5" s="53" t="s">
        <v>269</v>
      </c>
      <c r="E5" s="53" t="s">
        <v>272</v>
      </c>
      <c r="F5" s="53" t="s">
        <v>275</v>
      </c>
      <c r="G5" s="53" t="s">
        <v>269</v>
      </c>
      <c r="H5" s="53"/>
      <c r="I5" s="53" t="s">
        <v>281</v>
      </c>
    </row>
    <row r="6" spans="1:9" ht="17" thickBot="1" x14ac:dyDescent="0.2">
      <c r="A6" s="50"/>
      <c r="B6" s="53"/>
      <c r="C6" s="53"/>
      <c r="D6" s="53"/>
      <c r="E6" s="53"/>
      <c r="F6" s="53"/>
      <c r="G6" s="53"/>
      <c r="H6" s="53"/>
      <c r="I6" s="53"/>
    </row>
    <row r="7" spans="1:9" ht="16" x14ac:dyDescent="0.15">
      <c r="A7" s="56">
        <v>2</v>
      </c>
      <c r="B7" s="52" t="s">
        <v>282</v>
      </c>
      <c r="C7" s="52" t="s">
        <v>285</v>
      </c>
      <c r="D7" s="52" t="s">
        <v>288</v>
      </c>
      <c r="E7" s="52" t="s">
        <v>289</v>
      </c>
      <c r="F7" s="52" t="s">
        <v>292</v>
      </c>
      <c r="G7" s="52" t="s">
        <v>293</v>
      </c>
      <c r="H7" s="52" t="s">
        <v>296</v>
      </c>
      <c r="I7" s="52" t="s">
        <v>299</v>
      </c>
    </row>
    <row r="8" spans="1:9" ht="16" x14ac:dyDescent="0.15">
      <c r="A8" s="55"/>
      <c r="B8" s="52" t="s">
        <v>283</v>
      </c>
      <c r="C8" s="52" t="s">
        <v>286</v>
      </c>
      <c r="D8" s="52" t="s">
        <v>265</v>
      </c>
      <c r="E8" s="52" t="s">
        <v>290</v>
      </c>
      <c r="F8" s="52" t="s">
        <v>278</v>
      </c>
      <c r="G8" s="52" t="s">
        <v>294</v>
      </c>
      <c r="H8" s="52" t="s">
        <v>297</v>
      </c>
      <c r="I8" s="52" t="s">
        <v>300</v>
      </c>
    </row>
    <row r="9" spans="1:9" ht="17" thickBot="1" x14ac:dyDescent="0.2">
      <c r="A9" s="57"/>
      <c r="B9" s="53" t="s">
        <v>284</v>
      </c>
      <c r="C9" s="53" t="s">
        <v>287</v>
      </c>
      <c r="D9" s="53" t="s">
        <v>266</v>
      </c>
      <c r="E9" s="53" t="s">
        <v>291</v>
      </c>
      <c r="F9" s="54"/>
      <c r="G9" s="53" t="s">
        <v>295</v>
      </c>
      <c r="H9" s="53" t="s">
        <v>298</v>
      </c>
      <c r="I9" s="53" t="s">
        <v>281</v>
      </c>
    </row>
    <row r="10" spans="1:9" ht="17" thickBot="1" x14ac:dyDescent="0.2">
      <c r="A10" s="50"/>
      <c r="B10" s="53"/>
      <c r="C10" s="53"/>
      <c r="D10" s="53"/>
      <c r="E10" s="53"/>
      <c r="F10" s="53"/>
      <c r="G10" s="53"/>
      <c r="H10" s="53"/>
      <c r="I10" s="53"/>
    </row>
    <row r="11" spans="1:9" ht="16" x14ac:dyDescent="0.15">
      <c r="A11" s="56">
        <v>3</v>
      </c>
      <c r="B11" s="52" t="s">
        <v>301</v>
      </c>
      <c r="C11" s="52" t="s">
        <v>304</v>
      </c>
      <c r="D11" s="52" t="s">
        <v>307</v>
      </c>
      <c r="E11" s="52" t="s">
        <v>308</v>
      </c>
      <c r="F11" s="52" t="s">
        <v>309</v>
      </c>
      <c r="G11" s="52" t="s">
        <v>310</v>
      </c>
      <c r="H11" s="52" t="s">
        <v>311</v>
      </c>
      <c r="I11" s="52" t="s">
        <v>312</v>
      </c>
    </row>
    <row r="12" spans="1:9" ht="16" x14ac:dyDescent="0.15">
      <c r="A12" s="55"/>
      <c r="B12" s="52" t="s">
        <v>302</v>
      </c>
      <c r="C12" s="52" t="s">
        <v>305</v>
      </c>
      <c r="D12" s="52" t="s">
        <v>278</v>
      </c>
      <c r="E12" s="52" t="s">
        <v>278</v>
      </c>
      <c r="F12" s="52" t="s">
        <v>305</v>
      </c>
      <c r="G12" s="52" t="s">
        <v>278</v>
      </c>
      <c r="H12" s="52" t="s">
        <v>278</v>
      </c>
      <c r="I12" s="52" t="s">
        <v>278</v>
      </c>
    </row>
    <row r="13" spans="1:9" ht="17" thickBot="1" x14ac:dyDescent="0.2">
      <c r="A13" s="57"/>
      <c r="B13" s="53" t="s">
        <v>303</v>
      </c>
      <c r="C13" s="53" t="s">
        <v>306</v>
      </c>
      <c r="D13" s="53"/>
      <c r="E13" s="53"/>
      <c r="F13" s="53" t="s">
        <v>306</v>
      </c>
      <c r="G13" s="53"/>
      <c r="H13" s="53"/>
      <c r="I13" s="53"/>
    </row>
    <row r="14" spans="1:9" ht="17" thickBot="1" x14ac:dyDescent="0.2">
      <c r="A14" s="50"/>
      <c r="B14" s="53"/>
      <c r="C14" s="53"/>
      <c r="D14" s="53"/>
      <c r="E14" s="53"/>
      <c r="F14" s="53"/>
      <c r="G14" s="53"/>
      <c r="H14" s="53"/>
      <c r="I14" s="53"/>
    </row>
    <row r="15" spans="1:9" ht="16" x14ac:dyDescent="0.15">
      <c r="A15" s="56">
        <v>4</v>
      </c>
      <c r="B15" s="52" t="s">
        <v>313</v>
      </c>
      <c r="C15" s="52" t="s">
        <v>316</v>
      </c>
      <c r="D15" s="52" t="s">
        <v>317</v>
      </c>
      <c r="E15" s="52" t="s">
        <v>320</v>
      </c>
      <c r="F15" s="52" t="s">
        <v>323</v>
      </c>
      <c r="G15" s="52" t="s">
        <v>324</v>
      </c>
      <c r="H15" s="52" t="s">
        <v>327</v>
      </c>
      <c r="I15" s="52" t="s">
        <v>328</v>
      </c>
    </row>
    <row r="16" spans="1:9" ht="16" x14ac:dyDescent="0.15">
      <c r="A16" s="55"/>
      <c r="B16" s="52" t="s">
        <v>314</v>
      </c>
      <c r="C16" s="52" t="s">
        <v>278</v>
      </c>
      <c r="D16" s="52" t="s">
        <v>318</v>
      </c>
      <c r="E16" s="52" t="s">
        <v>321</v>
      </c>
      <c r="F16" s="52" t="s">
        <v>290</v>
      </c>
      <c r="G16" s="52" t="s">
        <v>325</v>
      </c>
      <c r="H16" s="52" t="s">
        <v>262</v>
      </c>
      <c r="I16" s="52" t="s">
        <v>329</v>
      </c>
    </row>
    <row r="17" spans="1:25" ht="17" thickBot="1" x14ac:dyDescent="0.2">
      <c r="A17" s="57"/>
      <c r="B17" s="53" t="s">
        <v>315</v>
      </c>
      <c r="C17" s="53"/>
      <c r="D17" s="53" t="s">
        <v>319</v>
      </c>
      <c r="E17" s="53" t="s">
        <v>322</v>
      </c>
      <c r="F17" s="53" t="s">
        <v>291</v>
      </c>
      <c r="G17" s="53" t="s">
        <v>326</v>
      </c>
      <c r="H17" s="53" t="s">
        <v>263</v>
      </c>
      <c r="I17" s="53" t="s">
        <v>330</v>
      </c>
    </row>
    <row r="18" spans="1:25" ht="17" thickBot="1" x14ac:dyDescent="0.2">
      <c r="A18" s="50"/>
      <c r="B18" s="51"/>
      <c r="C18" s="51"/>
      <c r="D18" s="51"/>
      <c r="E18" s="51"/>
      <c r="F18" s="51"/>
      <c r="G18" s="51"/>
      <c r="H18" s="51"/>
      <c r="I18" s="51"/>
      <c r="Q18" s="22">
        <v>1</v>
      </c>
      <c r="R18" s="25" t="s">
        <v>243</v>
      </c>
      <c r="S18" s="30" t="s">
        <v>245</v>
      </c>
      <c r="T18" s="25" t="s">
        <v>246</v>
      </c>
      <c r="U18" s="28" t="s">
        <v>252</v>
      </c>
      <c r="V18" s="30" t="s">
        <v>251</v>
      </c>
      <c r="W18" s="25" t="s">
        <v>250</v>
      </c>
      <c r="X18" s="28" t="s">
        <v>249</v>
      </c>
      <c r="Y18" s="30" t="s">
        <v>248</v>
      </c>
    </row>
    <row r="19" spans="1:25" ht="14" thickBot="1" x14ac:dyDescent="0.2"/>
    <row r="20" spans="1:25" ht="14" thickBot="1" x14ac:dyDescent="0.2">
      <c r="Q20" s="22">
        <v>2</v>
      </c>
      <c r="R20" s="25" t="s">
        <v>247</v>
      </c>
      <c r="S20" s="28" t="s">
        <v>253</v>
      </c>
      <c r="T20" s="30" t="s">
        <v>254</v>
      </c>
      <c r="U20" s="26" t="s">
        <v>36</v>
      </c>
      <c r="V20" s="29" t="s">
        <v>38</v>
      </c>
      <c r="W20" s="24" t="s">
        <v>40</v>
      </c>
      <c r="X20" s="26" t="s">
        <v>42</v>
      </c>
      <c r="Y20" s="29" t="s">
        <v>44</v>
      </c>
    </row>
    <row r="21" spans="1:25" ht="17" thickBot="1" x14ac:dyDescent="0.2">
      <c r="A21" s="48"/>
      <c r="B21" s="49">
        <v>1</v>
      </c>
      <c r="C21" s="49">
        <v>2</v>
      </c>
      <c r="D21" s="49">
        <v>3</v>
      </c>
      <c r="E21" s="49">
        <v>4</v>
      </c>
      <c r="F21" s="49">
        <v>5</v>
      </c>
      <c r="G21" s="49">
        <v>6</v>
      </c>
      <c r="H21" s="49">
        <v>7</v>
      </c>
      <c r="I21" s="49">
        <v>8</v>
      </c>
    </row>
    <row r="22" spans="1:25" ht="17" thickBot="1" x14ac:dyDescent="0.2">
      <c r="A22" s="50"/>
      <c r="B22" s="51"/>
      <c r="C22" s="51"/>
      <c r="D22" s="51"/>
      <c r="E22" s="51"/>
      <c r="F22" s="51"/>
      <c r="G22" s="51"/>
      <c r="H22" s="51"/>
      <c r="I22" s="51"/>
      <c r="Q22" s="22">
        <v>3</v>
      </c>
      <c r="R22" s="24" t="s">
        <v>46</v>
      </c>
      <c r="S22" s="26" t="s">
        <v>48</v>
      </c>
      <c r="T22" s="29" t="s">
        <v>50</v>
      </c>
      <c r="U22" s="24" t="s">
        <v>52</v>
      </c>
      <c r="V22" s="26" t="s">
        <v>54</v>
      </c>
      <c r="W22" s="29" t="s">
        <v>56</v>
      </c>
      <c r="X22" s="24" t="s">
        <v>58</v>
      </c>
      <c r="Y22" s="26" t="s">
        <v>60</v>
      </c>
    </row>
    <row r="23" spans="1:25" ht="17" thickBot="1" x14ac:dyDescent="0.2">
      <c r="A23" s="56">
        <v>5</v>
      </c>
      <c r="B23" s="52" t="s">
        <v>331</v>
      </c>
      <c r="C23" s="52" t="s">
        <v>334</v>
      </c>
      <c r="D23" s="52" t="s">
        <v>335</v>
      </c>
      <c r="E23" s="52" t="s">
        <v>338</v>
      </c>
      <c r="F23" s="52" t="s">
        <v>339</v>
      </c>
      <c r="G23" s="52" t="s">
        <v>342</v>
      </c>
      <c r="H23" s="52" t="s">
        <v>345</v>
      </c>
      <c r="I23" s="52" t="s">
        <v>348</v>
      </c>
    </row>
    <row r="24" spans="1:25" ht="17" thickBot="1" x14ac:dyDescent="0.2">
      <c r="A24" s="55"/>
      <c r="B24" s="52" t="s">
        <v>332</v>
      </c>
      <c r="C24" s="52" t="s">
        <v>278</v>
      </c>
      <c r="D24" s="52" t="s">
        <v>336</v>
      </c>
      <c r="E24" s="52" t="s">
        <v>305</v>
      </c>
      <c r="F24" s="52" t="s">
        <v>340</v>
      </c>
      <c r="G24" s="52" t="s">
        <v>343</v>
      </c>
      <c r="H24" s="52" t="s">
        <v>346</v>
      </c>
      <c r="I24" s="52" t="s">
        <v>349</v>
      </c>
      <c r="Q24" s="22">
        <v>4</v>
      </c>
      <c r="R24" s="29" t="s">
        <v>62</v>
      </c>
      <c r="S24" s="24" t="s">
        <v>64</v>
      </c>
      <c r="T24" s="27" t="s">
        <v>66</v>
      </c>
      <c r="U24" s="29" t="s">
        <v>68</v>
      </c>
      <c r="V24" s="24" t="s">
        <v>70</v>
      </c>
      <c r="W24" s="26" t="s">
        <v>72</v>
      </c>
      <c r="X24" s="29" t="s">
        <v>216</v>
      </c>
      <c r="Y24" s="24" t="s">
        <v>218</v>
      </c>
    </row>
    <row r="25" spans="1:25" ht="17" thickBot="1" x14ac:dyDescent="0.2">
      <c r="A25" s="57"/>
      <c r="B25" s="53" t="s">
        <v>333</v>
      </c>
      <c r="C25" s="53"/>
      <c r="D25" s="53" t="s">
        <v>337</v>
      </c>
      <c r="E25" s="53" t="s">
        <v>306</v>
      </c>
      <c r="F25" s="53" t="s">
        <v>341</v>
      </c>
      <c r="G25" s="53" t="s">
        <v>344</v>
      </c>
      <c r="H25" s="53" t="s">
        <v>347</v>
      </c>
      <c r="I25" s="53" t="s">
        <v>350</v>
      </c>
    </row>
    <row r="26" spans="1:25" ht="17" thickBot="1" x14ac:dyDescent="0.2">
      <c r="A26" s="50"/>
      <c r="B26" s="53"/>
      <c r="C26" s="53"/>
      <c r="D26" s="53"/>
      <c r="E26" s="53"/>
      <c r="F26" s="53"/>
      <c r="G26" s="53"/>
      <c r="H26" s="53"/>
      <c r="I26" s="53"/>
    </row>
    <row r="27" spans="1:25" ht="17" thickBot="1" x14ac:dyDescent="0.2">
      <c r="A27" s="56">
        <v>6</v>
      </c>
      <c r="B27" s="52" t="s">
        <v>351</v>
      </c>
      <c r="C27" s="52" t="s">
        <v>352</v>
      </c>
      <c r="D27" s="52" t="s">
        <v>353</v>
      </c>
      <c r="E27" s="52" t="s">
        <v>356</v>
      </c>
      <c r="F27" s="52" t="s">
        <v>359</v>
      </c>
      <c r="G27" s="52" t="s">
        <v>362</v>
      </c>
      <c r="H27" s="52" t="s">
        <v>363</v>
      </c>
      <c r="I27" s="52" t="s">
        <v>366</v>
      </c>
      <c r="Q27" s="22">
        <v>5</v>
      </c>
      <c r="R27" s="26" t="s">
        <v>191</v>
      </c>
      <c r="S27" s="29" t="s">
        <v>193</v>
      </c>
      <c r="T27" s="24" t="s">
        <v>195</v>
      </c>
      <c r="U27" s="26" t="s">
        <v>220</v>
      </c>
      <c r="V27" s="29" t="s">
        <v>211</v>
      </c>
      <c r="W27" s="24" t="s">
        <v>212</v>
      </c>
      <c r="X27" s="26" t="s">
        <v>224</v>
      </c>
      <c r="Y27" s="29" t="s">
        <v>226</v>
      </c>
    </row>
    <row r="28" spans="1:25" ht="17" thickBot="1" x14ac:dyDescent="0.2">
      <c r="A28" s="55"/>
      <c r="B28" s="52" t="s">
        <v>318</v>
      </c>
      <c r="C28" s="52" t="s">
        <v>278</v>
      </c>
      <c r="D28" s="52" t="s">
        <v>354</v>
      </c>
      <c r="E28" s="52" t="s">
        <v>357</v>
      </c>
      <c r="F28" s="52" t="s">
        <v>360</v>
      </c>
      <c r="G28" s="52" t="s">
        <v>305</v>
      </c>
      <c r="H28" s="52" t="s">
        <v>364</v>
      </c>
      <c r="I28" s="52" t="s">
        <v>367</v>
      </c>
    </row>
    <row r="29" spans="1:25" ht="17" thickBot="1" x14ac:dyDescent="0.2">
      <c r="A29" s="57"/>
      <c r="B29" s="53" t="s">
        <v>319</v>
      </c>
      <c r="C29" s="53"/>
      <c r="D29" s="53" t="s">
        <v>355</v>
      </c>
      <c r="E29" s="53" t="s">
        <v>358</v>
      </c>
      <c r="F29" s="53" t="s">
        <v>361</v>
      </c>
      <c r="G29" s="53" t="s">
        <v>306</v>
      </c>
      <c r="H29" s="53" t="s">
        <v>365</v>
      </c>
      <c r="I29" s="53" t="s">
        <v>368</v>
      </c>
      <c r="Q29" s="22">
        <v>6</v>
      </c>
      <c r="R29" s="24" t="s">
        <v>228</v>
      </c>
      <c r="S29" s="26" t="s">
        <v>230</v>
      </c>
      <c r="T29" s="29" t="s">
        <v>232</v>
      </c>
      <c r="U29" s="24" t="s">
        <v>234</v>
      </c>
      <c r="V29" s="26" t="s">
        <v>236</v>
      </c>
      <c r="W29" s="29" t="s">
        <v>238</v>
      </c>
      <c r="X29" s="24" t="s">
        <v>240</v>
      </c>
      <c r="Y29" s="26" t="s">
        <v>74</v>
      </c>
    </row>
    <row r="30" spans="1:25" ht="17" thickBot="1" x14ac:dyDescent="0.2">
      <c r="A30" s="50"/>
      <c r="B30" s="53"/>
      <c r="C30" s="53"/>
      <c r="D30" s="53"/>
      <c r="E30" s="53"/>
      <c r="F30" s="53"/>
      <c r="G30" s="53"/>
      <c r="H30" s="53"/>
      <c r="I30" s="53"/>
    </row>
    <row r="31" spans="1:25" ht="17" thickBot="1" x14ac:dyDescent="0.2">
      <c r="A31" s="56">
        <v>7</v>
      </c>
      <c r="B31" s="52" t="s">
        <v>369</v>
      </c>
      <c r="C31" s="52" t="s">
        <v>370</v>
      </c>
      <c r="D31" s="52" t="s">
        <v>371</v>
      </c>
      <c r="E31" s="52" t="s">
        <v>374</v>
      </c>
      <c r="F31" s="52" t="s">
        <v>375</v>
      </c>
      <c r="G31" s="52" t="s">
        <v>376</v>
      </c>
      <c r="H31" s="52" t="s">
        <v>377</v>
      </c>
      <c r="I31" s="52" t="s">
        <v>380</v>
      </c>
      <c r="Q31" s="22">
        <v>7</v>
      </c>
      <c r="R31" s="29" t="s">
        <v>76</v>
      </c>
      <c r="S31" s="24" t="s">
        <v>78</v>
      </c>
      <c r="T31" s="26" t="s">
        <v>80</v>
      </c>
      <c r="U31" s="29" t="s">
        <v>82</v>
      </c>
      <c r="V31" s="24" t="s">
        <v>84</v>
      </c>
      <c r="W31" s="26" t="s">
        <v>86</v>
      </c>
      <c r="X31" s="29" t="s">
        <v>88</v>
      </c>
      <c r="Y31" s="24" t="s">
        <v>90</v>
      </c>
    </row>
    <row r="32" spans="1:25" ht="17" thickBot="1" x14ac:dyDescent="0.2">
      <c r="A32" s="55"/>
      <c r="B32" s="52" t="s">
        <v>305</v>
      </c>
      <c r="C32" s="52" t="s">
        <v>290</v>
      </c>
      <c r="D32" s="52" t="s">
        <v>372</v>
      </c>
      <c r="E32" s="52" t="s">
        <v>294</v>
      </c>
      <c r="F32" s="52" t="s">
        <v>372</v>
      </c>
      <c r="G32" s="52" t="s">
        <v>302</v>
      </c>
      <c r="H32" s="52" t="s">
        <v>378</v>
      </c>
      <c r="I32" s="52" t="s">
        <v>290</v>
      </c>
    </row>
    <row r="33" spans="1:25" ht="17" thickBot="1" x14ac:dyDescent="0.2">
      <c r="A33" s="55"/>
      <c r="B33" s="52" t="s">
        <v>306</v>
      </c>
      <c r="C33" s="52" t="s">
        <v>291</v>
      </c>
      <c r="D33" s="52" t="s">
        <v>373</v>
      </c>
      <c r="E33" s="52" t="s">
        <v>295</v>
      </c>
      <c r="F33" s="52" t="s">
        <v>373</v>
      </c>
      <c r="G33" s="52" t="s">
        <v>303</v>
      </c>
      <c r="H33" s="52" t="s">
        <v>379</v>
      </c>
      <c r="I33" s="52" t="s">
        <v>291</v>
      </c>
      <c r="Q33" s="22">
        <v>8</v>
      </c>
      <c r="R33" s="26" t="s">
        <v>92</v>
      </c>
      <c r="S33" s="29" t="s">
        <v>94</v>
      </c>
      <c r="T33" s="24" t="s">
        <v>96</v>
      </c>
      <c r="U33" s="26" t="s">
        <v>98</v>
      </c>
      <c r="V33" s="29" t="s">
        <v>100</v>
      </c>
      <c r="W33" s="24" t="s">
        <v>102</v>
      </c>
      <c r="X33" s="26" t="s">
        <v>103</v>
      </c>
      <c r="Y33" s="29" t="s">
        <v>105</v>
      </c>
    </row>
    <row r="34" spans="1:25" ht="16" thickBot="1" x14ac:dyDescent="0.2">
      <c r="A34" s="57"/>
      <c r="B34" s="54"/>
      <c r="C34" s="54"/>
      <c r="D34" s="53"/>
      <c r="E34" s="53"/>
      <c r="F34" s="54"/>
      <c r="G34" s="54"/>
      <c r="H34" s="53"/>
      <c r="I34" s="53"/>
    </row>
    <row r="35" spans="1:25" ht="17" thickBot="1" x14ac:dyDescent="0.2">
      <c r="A35" s="50"/>
      <c r="B35" s="53"/>
      <c r="C35" s="53"/>
      <c r="D35" s="53"/>
      <c r="E35" s="53"/>
      <c r="F35" s="53"/>
      <c r="G35" s="53"/>
      <c r="H35" s="53"/>
      <c r="I35" s="53"/>
    </row>
    <row r="36" spans="1:25" ht="17" thickBot="1" x14ac:dyDescent="0.2">
      <c r="A36" s="56">
        <v>8</v>
      </c>
      <c r="B36" s="52" t="s">
        <v>381</v>
      </c>
      <c r="C36" s="52" t="s">
        <v>382</v>
      </c>
      <c r="D36" s="52" t="s">
        <v>383</v>
      </c>
      <c r="E36" s="52" t="s">
        <v>386</v>
      </c>
      <c r="F36" s="52" t="s">
        <v>389</v>
      </c>
      <c r="G36" s="52" t="s">
        <v>390</v>
      </c>
      <c r="H36" s="52" t="s">
        <v>391</v>
      </c>
      <c r="I36" s="52" t="s">
        <v>394</v>
      </c>
      <c r="Q36" s="22">
        <v>9</v>
      </c>
      <c r="R36" s="24" t="s">
        <v>107</v>
      </c>
      <c r="S36" s="26" t="s">
        <v>109</v>
      </c>
      <c r="T36" s="29" t="s">
        <v>110</v>
      </c>
      <c r="U36" s="26" t="s">
        <v>113</v>
      </c>
      <c r="V36" s="29" t="s">
        <v>115</v>
      </c>
      <c r="W36" s="24" t="s">
        <v>117</v>
      </c>
      <c r="X36" s="26" t="s">
        <v>119</v>
      </c>
      <c r="Y36" s="29" t="s">
        <v>120</v>
      </c>
    </row>
    <row r="37" spans="1:25" ht="17" thickBot="1" x14ac:dyDescent="0.2">
      <c r="A37" s="55"/>
      <c r="B37" s="52" t="s">
        <v>300</v>
      </c>
      <c r="C37" s="52" t="s">
        <v>305</v>
      </c>
      <c r="D37" s="52" t="s">
        <v>384</v>
      </c>
      <c r="E37" s="52" t="s">
        <v>387</v>
      </c>
      <c r="F37" s="52" t="s">
        <v>343</v>
      </c>
      <c r="G37" s="52" t="s">
        <v>300</v>
      </c>
      <c r="H37" s="52" t="s">
        <v>392</v>
      </c>
      <c r="I37" s="52" t="s">
        <v>395</v>
      </c>
    </row>
    <row r="38" spans="1:25" ht="17" thickBot="1" x14ac:dyDescent="0.2">
      <c r="A38" s="55"/>
      <c r="B38" s="52" t="s">
        <v>281</v>
      </c>
      <c r="C38" s="52" t="s">
        <v>306</v>
      </c>
      <c r="D38" s="52" t="s">
        <v>385</v>
      </c>
      <c r="E38" s="52" t="s">
        <v>388</v>
      </c>
      <c r="F38" s="52" t="s">
        <v>344</v>
      </c>
      <c r="G38" s="52" t="s">
        <v>281</v>
      </c>
      <c r="H38" s="52" t="s">
        <v>393</v>
      </c>
      <c r="I38" s="52" t="s">
        <v>396</v>
      </c>
      <c r="Q38" s="22">
        <v>10</v>
      </c>
      <c r="R38" s="24" t="s">
        <v>122</v>
      </c>
      <c r="S38" s="26" t="s">
        <v>123</v>
      </c>
      <c r="T38" s="29" t="s">
        <v>124</v>
      </c>
      <c r="U38" s="24" t="s">
        <v>126</v>
      </c>
      <c r="V38" s="26" t="s">
        <v>127</v>
      </c>
      <c r="W38" s="29" t="s">
        <v>129</v>
      </c>
      <c r="X38" s="24" t="s">
        <v>131</v>
      </c>
      <c r="Y38" s="26" t="s">
        <v>133</v>
      </c>
    </row>
    <row r="39" spans="1:25" ht="16" thickBot="1" x14ac:dyDescent="0.2">
      <c r="A39" s="57"/>
      <c r="B39" s="54"/>
      <c r="C39" s="53"/>
      <c r="D39" s="54"/>
      <c r="E39" s="54"/>
      <c r="F39" s="54"/>
      <c r="G39" s="53"/>
      <c r="H39" s="54"/>
      <c r="I39" s="54"/>
    </row>
    <row r="40" spans="1:25" ht="17" thickBot="1" x14ac:dyDescent="0.2">
      <c r="A40" s="50"/>
      <c r="B40" s="51"/>
      <c r="C40" s="51"/>
      <c r="D40" s="51"/>
      <c r="E40" s="51"/>
      <c r="F40" s="51"/>
      <c r="G40" s="51"/>
      <c r="H40" s="51"/>
      <c r="I40" s="51"/>
      <c r="Q40" s="22">
        <v>11</v>
      </c>
      <c r="R40" s="29" t="s">
        <v>134</v>
      </c>
      <c r="S40" s="24" t="s">
        <v>135</v>
      </c>
      <c r="T40" s="26" t="s">
        <v>136</v>
      </c>
      <c r="U40" s="24" t="s">
        <v>139</v>
      </c>
      <c r="V40" s="26" t="s">
        <v>141</v>
      </c>
      <c r="W40" s="29" t="s">
        <v>143</v>
      </c>
      <c r="X40" s="24" t="s">
        <v>145</v>
      </c>
      <c r="Y40" s="26" t="s">
        <v>147</v>
      </c>
    </row>
    <row r="41" spans="1:25" ht="14" thickBot="1" x14ac:dyDescent="0.2"/>
    <row r="42" spans="1:25" ht="14" thickBot="1" x14ac:dyDescent="0.2">
      <c r="Q42" s="22">
        <v>12</v>
      </c>
      <c r="R42" s="29" t="s">
        <v>148</v>
      </c>
      <c r="S42" s="24" t="s">
        <v>150</v>
      </c>
      <c r="T42" s="26" t="s">
        <v>152</v>
      </c>
      <c r="U42" s="29" t="s">
        <v>153</v>
      </c>
      <c r="V42" s="24" t="s">
        <v>155</v>
      </c>
      <c r="W42" s="26" t="s">
        <v>156</v>
      </c>
      <c r="X42" s="29" t="s">
        <v>158</v>
      </c>
      <c r="Y42" s="24" t="s">
        <v>159</v>
      </c>
    </row>
    <row r="43" spans="1:25" ht="17" thickBot="1" x14ac:dyDescent="0.2">
      <c r="A43" s="48"/>
      <c r="B43" s="49">
        <v>1</v>
      </c>
      <c r="C43" s="49">
        <v>2</v>
      </c>
      <c r="D43" s="49">
        <v>3</v>
      </c>
      <c r="E43" s="49">
        <v>4</v>
      </c>
      <c r="F43" s="49">
        <v>5</v>
      </c>
      <c r="G43" s="49">
        <v>6</v>
      </c>
      <c r="H43" s="49">
        <v>7</v>
      </c>
      <c r="I43" s="49">
        <v>8</v>
      </c>
    </row>
    <row r="44" spans="1:25" ht="17" thickBot="1" x14ac:dyDescent="0.2">
      <c r="A44" s="50"/>
      <c r="B44" s="51"/>
      <c r="C44" s="51"/>
      <c r="D44" s="51"/>
      <c r="E44" s="51"/>
      <c r="F44" s="51"/>
      <c r="G44" s="51"/>
      <c r="H44" s="51"/>
      <c r="I44" s="51"/>
    </row>
    <row r="45" spans="1:25" ht="17" thickBot="1" x14ac:dyDescent="0.2">
      <c r="A45" s="56">
        <v>9</v>
      </c>
      <c r="B45" s="52" t="s">
        <v>397</v>
      </c>
      <c r="C45" s="52" t="s">
        <v>398</v>
      </c>
      <c r="D45" s="52" t="s">
        <v>400</v>
      </c>
      <c r="E45" s="52" t="s">
        <v>401</v>
      </c>
      <c r="F45" s="52" t="s">
        <v>402</v>
      </c>
      <c r="G45" s="52" t="s">
        <v>403</v>
      </c>
      <c r="H45" s="52" t="s">
        <v>404</v>
      </c>
      <c r="I45" s="52" t="s">
        <v>405</v>
      </c>
      <c r="Q45" s="22">
        <v>13</v>
      </c>
      <c r="R45" s="26" t="s">
        <v>161</v>
      </c>
      <c r="S45" s="29" t="s">
        <v>163</v>
      </c>
      <c r="T45" s="24" t="s">
        <v>165</v>
      </c>
      <c r="U45" s="26" t="s">
        <v>167</v>
      </c>
      <c r="V45" s="29" t="s">
        <v>169</v>
      </c>
      <c r="W45" s="24" t="s">
        <v>171</v>
      </c>
      <c r="X45" s="26" t="s">
        <v>173</v>
      </c>
      <c r="Y45" s="29" t="s">
        <v>175</v>
      </c>
    </row>
    <row r="46" spans="1:25" ht="17" thickBot="1" x14ac:dyDescent="0.2">
      <c r="A46" s="55"/>
      <c r="B46" s="52" t="s">
        <v>367</v>
      </c>
      <c r="C46" s="52" t="s">
        <v>399</v>
      </c>
      <c r="D46" s="52" t="s">
        <v>399</v>
      </c>
      <c r="E46" s="52" t="s">
        <v>378</v>
      </c>
      <c r="F46" s="52" t="s">
        <v>300</v>
      </c>
      <c r="G46" s="52" t="s">
        <v>318</v>
      </c>
      <c r="H46" s="52" t="s">
        <v>357</v>
      </c>
      <c r="I46" s="52" t="s">
        <v>406</v>
      </c>
    </row>
    <row r="47" spans="1:25" ht="17" thickBot="1" x14ac:dyDescent="0.2">
      <c r="A47" s="57"/>
      <c r="B47" s="53" t="s">
        <v>368</v>
      </c>
      <c r="C47" s="53"/>
      <c r="D47" s="54"/>
      <c r="E47" s="53" t="s">
        <v>379</v>
      </c>
      <c r="F47" s="53" t="s">
        <v>281</v>
      </c>
      <c r="G47" s="53" t="s">
        <v>319</v>
      </c>
      <c r="H47" s="53" t="s">
        <v>358</v>
      </c>
      <c r="I47" s="53" t="s">
        <v>333</v>
      </c>
      <c r="Q47" s="22">
        <v>14</v>
      </c>
      <c r="R47" s="24" t="s">
        <v>177</v>
      </c>
      <c r="S47" s="26" t="s">
        <v>179</v>
      </c>
      <c r="T47" s="29" t="s">
        <v>181</v>
      </c>
      <c r="U47" s="24" t="s">
        <v>183</v>
      </c>
      <c r="V47" s="26" t="s">
        <v>185</v>
      </c>
      <c r="W47" s="29" t="s">
        <v>187</v>
      </c>
      <c r="X47" s="24" t="s">
        <v>189</v>
      </c>
      <c r="Y47" s="23"/>
    </row>
    <row r="48" spans="1:25" ht="17" thickBot="1" x14ac:dyDescent="0.2">
      <c r="A48" s="50"/>
      <c r="B48" s="53"/>
      <c r="C48" s="53"/>
      <c r="D48" s="53"/>
      <c r="E48" s="53"/>
      <c r="F48" s="53"/>
      <c r="G48" s="53"/>
      <c r="H48" s="53"/>
      <c r="I48" s="53"/>
    </row>
    <row r="49" spans="1:9" ht="16" x14ac:dyDescent="0.15">
      <c r="A49" s="56">
        <v>10</v>
      </c>
      <c r="B49" s="52" t="s">
        <v>407</v>
      </c>
      <c r="C49" s="52" t="s">
        <v>408</v>
      </c>
      <c r="D49" s="52" t="s">
        <v>409</v>
      </c>
      <c r="E49" s="52" t="s">
        <v>410</v>
      </c>
      <c r="F49" s="52" t="s">
        <v>411</v>
      </c>
      <c r="G49" s="52" t="s">
        <v>412</v>
      </c>
      <c r="H49" s="52" t="s">
        <v>413</v>
      </c>
      <c r="I49" s="52" t="s">
        <v>414</v>
      </c>
    </row>
    <row r="50" spans="1:9" ht="16" x14ac:dyDescent="0.15">
      <c r="A50" s="55"/>
      <c r="B50" s="52" t="s">
        <v>300</v>
      </c>
      <c r="C50" s="52" t="s">
        <v>399</v>
      </c>
      <c r="D50" s="52" t="s">
        <v>378</v>
      </c>
      <c r="E50" s="52" t="s">
        <v>321</v>
      </c>
      <c r="F50" s="52" t="s">
        <v>336</v>
      </c>
      <c r="G50" s="52" t="s">
        <v>392</v>
      </c>
      <c r="H50" s="52" t="s">
        <v>290</v>
      </c>
      <c r="I50" s="52" t="s">
        <v>415</v>
      </c>
    </row>
    <row r="51" spans="1:9" ht="17" thickBot="1" x14ac:dyDescent="0.2">
      <c r="A51" s="57"/>
      <c r="B51" s="53" t="s">
        <v>281</v>
      </c>
      <c r="C51" s="53"/>
      <c r="D51" s="53" t="s">
        <v>379</v>
      </c>
      <c r="E51" s="53" t="s">
        <v>322</v>
      </c>
      <c r="F51" s="53" t="s">
        <v>337</v>
      </c>
      <c r="G51" s="53" t="s">
        <v>393</v>
      </c>
      <c r="H51" s="53" t="s">
        <v>291</v>
      </c>
      <c r="I51" s="53" t="s">
        <v>416</v>
      </c>
    </row>
    <row r="52" spans="1:9" ht="17" thickBot="1" x14ac:dyDescent="0.2">
      <c r="A52" s="50"/>
      <c r="B52" s="53"/>
      <c r="C52" s="53"/>
      <c r="D52" s="53"/>
      <c r="E52" s="53"/>
      <c r="F52" s="53"/>
      <c r="G52" s="53"/>
      <c r="H52" s="53"/>
      <c r="I52" s="53"/>
    </row>
    <row r="53" spans="1:9" ht="16" x14ac:dyDescent="0.15">
      <c r="A53" s="56">
        <v>11</v>
      </c>
      <c r="B53" s="52" t="s">
        <v>417</v>
      </c>
      <c r="C53" s="52" t="s">
        <v>418</v>
      </c>
      <c r="D53" s="52" t="s">
        <v>419</v>
      </c>
      <c r="E53" s="52" t="s">
        <v>420</v>
      </c>
      <c r="F53" s="52" t="s">
        <v>421</v>
      </c>
      <c r="G53" s="52" t="s">
        <v>422</v>
      </c>
      <c r="H53" s="52" t="s">
        <v>423</v>
      </c>
      <c r="I53" s="52" t="s">
        <v>425</v>
      </c>
    </row>
    <row r="54" spans="1:9" ht="16" x14ac:dyDescent="0.15">
      <c r="A54" s="55"/>
      <c r="B54" s="52" t="s">
        <v>274</v>
      </c>
      <c r="C54" s="52" t="s">
        <v>399</v>
      </c>
      <c r="D54" s="52" t="s">
        <v>354</v>
      </c>
      <c r="E54" s="52" t="s">
        <v>274</v>
      </c>
      <c r="F54" s="52" t="s">
        <v>378</v>
      </c>
      <c r="G54" s="52" t="s">
        <v>274</v>
      </c>
      <c r="H54" s="52" t="s">
        <v>329</v>
      </c>
      <c r="I54" s="52" t="s">
        <v>399</v>
      </c>
    </row>
    <row r="55" spans="1:9" ht="17" thickBot="1" x14ac:dyDescent="0.2">
      <c r="A55" s="57"/>
      <c r="B55" s="53" t="s">
        <v>275</v>
      </c>
      <c r="C55" s="53"/>
      <c r="D55" s="53" t="s">
        <v>355</v>
      </c>
      <c r="E55" s="53" t="s">
        <v>275</v>
      </c>
      <c r="F55" s="53" t="s">
        <v>379</v>
      </c>
      <c r="G55" s="53" t="s">
        <v>275</v>
      </c>
      <c r="H55" s="53" t="s">
        <v>424</v>
      </c>
      <c r="I55" s="53"/>
    </row>
    <row r="56" spans="1:9" ht="17" thickBot="1" x14ac:dyDescent="0.2">
      <c r="A56" s="50"/>
      <c r="B56" s="53"/>
      <c r="C56" s="53"/>
      <c r="D56" s="53"/>
      <c r="E56" s="53"/>
      <c r="F56" s="53"/>
      <c r="G56" s="53"/>
      <c r="H56" s="53"/>
      <c r="I56" s="53"/>
    </row>
    <row r="57" spans="1:9" ht="16" x14ac:dyDescent="0.15">
      <c r="A57" s="56">
        <v>12</v>
      </c>
      <c r="B57" s="52" t="s">
        <v>426</v>
      </c>
      <c r="C57" s="52" t="s">
        <v>427</v>
      </c>
      <c r="D57" s="52" t="s">
        <v>428</v>
      </c>
      <c r="E57" s="52" t="s">
        <v>429</v>
      </c>
      <c r="F57" s="52" t="s">
        <v>430</v>
      </c>
      <c r="G57" s="52" t="s">
        <v>431</v>
      </c>
      <c r="H57" s="52" t="s">
        <v>432</v>
      </c>
      <c r="I57" s="52" t="s">
        <v>434</v>
      </c>
    </row>
    <row r="58" spans="1:9" ht="16" x14ac:dyDescent="0.15">
      <c r="A58" s="55"/>
      <c r="B58" s="52" t="s">
        <v>274</v>
      </c>
      <c r="C58" s="52" t="s">
        <v>274</v>
      </c>
      <c r="D58" s="52" t="s">
        <v>378</v>
      </c>
      <c r="E58" s="52" t="s">
        <v>372</v>
      </c>
      <c r="F58" s="52" t="s">
        <v>378</v>
      </c>
      <c r="G58" s="52" t="s">
        <v>305</v>
      </c>
      <c r="H58" s="52" t="s">
        <v>433</v>
      </c>
      <c r="I58" s="52" t="s">
        <v>399</v>
      </c>
    </row>
    <row r="59" spans="1:9" ht="17" thickBot="1" x14ac:dyDescent="0.2">
      <c r="A59" s="57"/>
      <c r="B59" s="53" t="s">
        <v>275</v>
      </c>
      <c r="C59" s="53" t="s">
        <v>275</v>
      </c>
      <c r="D59" s="53" t="s">
        <v>379</v>
      </c>
      <c r="E59" s="53" t="s">
        <v>373</v>
      </c>
      <c r="F59" s="53" t="s">
        <v>379</v>
      </c>
      <c r="G59" s="53" t="s">
        <v>306</v>
      </c>
      <c r="H59" s="53" t="s">
        <v>350</v>
      </c>
      <c r="I59" s="53"/>
    </row>
    <row r="60" spans="1:9" ht="17" thickBot="1" x14ac:dyDescent="0.2">
      <c r="A60" s="50"/>
      <c r="B60" s="51"/>
      <c r="C60" s="51"/>
      <c r="D60" s="51"/>
      <c r="E60" s="51"/>
      <c r="F60" s="51"/>
      <c r="G60" s="51"/>
      <c r="H60" s="51"/>
      <c r="I60" s="51"/>
    </row>
    <row r="62" spans="1:9" ht="14" thickBot="1" x14ac:dyDescent="0.2"/>
    <row r="63" spans="1:9" ht="17" thickBot="1" x14ac:dyDescent="0.2">
      <c r="A63" s="48"/>
      <c r="B63" s="49">
        <v>1</v>
      </c>
      <c r="C63" s="49">
        <v>2</v>
      </c>
      <c r="D63" s="49">
        <v>3</v>
      </c>
      <c r="E63" s="49">
        <v>4</v>
      </c>
      <c r="F63" s="49">
        <v>5</v>
      </c>
      <c r="G63" s="49">
        <v>6</v>
      </c>
      <c r="H63" s="49">
        <v>7</v>
      </c>
      <c r="I63" s="49">
        <v>8</v>
      </c>
    </row>
    <row r="64" spans="1:9" ht="17" thickBot="1" x14ac:dyDescent="0.2">
      <c r="A64" s="50"/>
      <c r="B64" s="51"/>
      <c r="C64" s="51"/>
      <c r="D64" s="51"/>
      <c r="E64" s="51"/>
      <c r="F64" s="51"/>
      <c r="G64" s="51"/>
      <c r="H64" s="51"/>
      <c r="I64" s="51"/>
    </row>
    <row r="65" spans="1:9" ht="16" x14ac:dyDescent="0.15">
      <c r="A65" s="56">
        <v>13</v>
      </c>
      <c r="B65" s="52" t="s">
        <v>435</v>
      </c>
      <c r="C65" s="52" t="s">
        <v>437</v>
      </c>
      <c r="D65" s="52" t="s">
        <v>438</v>
      </c>
      <c r="E65" s="52" t="s">
        <v>439</v>
      </c>
      <c r="F65" s="52" t="s">
        <v>440</v>
      </c>
      <c r="G65" s="52" t="s">
        <v>441</v>
      </c>
      <c r="H65" s="52" t="s">
        <v>444</v>
      </c>
      <c r="I65" s="52" t="s">
        <v>445</v>
      </c>
    </row>
    <row r="66" spans="1:9" ht="16" x14ac:dyDescent="0.15">
      <c r="A66" s="55"/>
      <c r="B66" s="52" t="s">
        <v>346</v>
      </c>
      <c r="C66" s="52" t="s">
        <v>318</v>
      </c>
      <c r="D66" s="52" t="s">
        <v>399</v>
      </c>
      <c r="E66" s="52" t="s">
        <v>262</v>
      </c>
      <c r="F66" s="52" t="s">
        <v>399</v>
      </c>
      <c r="G66" s="52" t="s">
        <v>442</v>
      </c>
      <c r="H66" s="52" t="s">
        <v>392</v>
      </c>
      <c r="I66" s="52" t="s">
        <v>372</v>
      </c>
    </row>
    <row r="67" spans="1:9" ht="17" thickBot="1" x14ac:dyDescent="0.2">
      <c r="A67" s="57"/>
      <c r="B67" s="53" t="s">
        <v>436</v>
      </c>
      <c r="C67" s="53" t="s">
        <v>319</v>
      </c>
      <c r="D67" s="53"/>
      <c r="E67" s="53" t="s">
        <v>263</v>
      </c>
      <c r="F67" s="53"/>
      <c r="G67" s="53" t="s">
        <v>443</v>
      </c>
      <c r="H67" s="53" t="s">
        <v>393</v>
      </c>
      <c r="I67" s="53" t="s">
        <v>446</v>
      </c>
    </row>
    <row r="68" spans="1:9" ht="17" thickBot="1" x14ac:dyDescent="0.2">
      <c r="A68" s="50"/>
      <c r="B68" s="53"/>
      <c r="C68" s="53"/>
      <c r="D68" s="53"/>
      <c r="E68" s="53"/>
      <c r="F68" s="53"/>
      <c r="G68" s="53"/>
      <c r="H68" s="53"/>
      <c r="I68" s="53"/>
    </row>
    <row r="69" spans="1:9" ht="16" x14ac:dyDescent="0.15">
      <c r="A69" s="56">
        <v>14</v>
      </c>
      <c r="B69" s="52" t="s">
        <v>447</v>
      </c>
      <c r="C69" s="52" t="s">
        <v>448</v>
      </c>
      <c r="D69" s="52" t="s">
        <v>450</v>
      </c>
      <c r="E69" s="52" t="s">
        <v>451</v>
      </c>
      <c r="F69" s="52" t="s">
        <v>452</v>
      </c>
      <c r="G69" s="52" t="s">
        <v>455</v>
      </c>
      <c r="H69" s="52" t="s">
        <v>456</v>
      </c>
      <c r="I69" s="58"/>
    </row>
    <row r="70" spans="1:9" ht="16" x14ac:dyDescent="0.15">
      <c r="A70" s="55"/>
      <c r="B70" s="52" t="s">
        <v>367</v>
      </c>
      <c r="C70" s="52" t="s">
        <v>449</v>
      </c>
      <c r="D70" s="52" t="s">
        <v>302</v>
      </c>
      <c r="E70" s="52" t="s">
        <v>387</v>
      </c>
      <c r="F70" s="52" t="s">
        <v>453</v>
      </c>
      <c r="G70" s="52" t="s">
        <v>265</v>
      </c>
      <c r="H70" s="52" t="s">
        <v>399</v>
      </c>
      <c r="I70" s="59"/>
    </row>
    <row r="71" spans="1:9" ht="17" thickBot="1" x14ac:dyDescent="0.2">
      <c r="A71" s="57"/>
      <c r="B71" s="53" t="s">
        <v>368</v>
      </c>
      <c r="C71" s="53"/>
      <c r="D71" s="53" t="s">
        <v>303</v>
      </c>
      <c r="E71" s="53" t="s">
        <v>388</v>
      </c>
      <c r="F71" s="53" t="s">
        <v>454</v>
      </c>
      <c r="G71" s="53" t="s">
        <v>266</v>
      </c>
      <c r="H71" s="54"/>
      <c r="I71" s="60"/>
    </row>
    <row r="72" spans="1:9" ht="17" thickBot="1" x14ac:dyDescent="0.2">
      <c r="A72" s="50"/>
      <c r="B72" s="53"/>
      <c r="C72" s="53"/>
      <c r="D72" s="53"/>
      <c r="E72" s="53"/>
      <c r="F72" s="53"/>
      <c r="G72" s="53"/>
      <c r="H72" s="53"/>
      <c r="I72" s="53"/>
    </row>
    <row r="73" spans="1:9" ht="17" thickBot="1" x14ac:dyDescent="0.2">
      <c r="A73" s="50">
        <v>15</v>
      </c>
      <c r="B73" s="53"/>
      <c r="C73" s="53"/>
      <c r="D73" s="53"/>
      <c r="E73" s="53"/>
      <c r="F73" s="53"/>
      <c r="G73" s="53"/>
      <c r="H73" s="53"/>
      <c r="I73" s="53"/>
    </row>
    <row r="74" spans="1:9" ht="17" thickBot="1" x14ac:dyDescent="0.2">
      <c r="A74" s="50"/>
      <c r="B74" s="53"/>
      <c r="C74" s="53"/>
      <c r="D74" s="53"/>
      <c r="E74" s="53"/>
      <c r="F74" s="53"/>
      <c r="G74" s="53"/>
      <c r="H74" s="53"/>
      <c r="I74" s="53"/>
    </row>
    <row r="75" spans="1:9" ht="17" thickBot="1" x14ac:dyDescent="0.2">
      <c r="A75" s="50">
        <v>16</v>
      </c>
      <c r="B75" s="53"/>
      <c r="C75" s="53"/>
      <c r="D75" s="53"/>
      <c r="E75" s="53"/>
      <c r="F75" s="53"/>
      <c r="G75" s="53"/>
      <c r="H75" s="53"/>
      <c r="I75" s="53"/>
    </row>
  </sheetData>
  <mergeCells count="15">
    <mergeCell ref="A65:A67"/>
    <mergeCell ref="A69:A71"/>
    <mergeCell ref="I69:I71"/>
    <mergeCell ref="A31:A34"/>
    <mergeCell ref="A36:A39"/>
    <mergeCell ref="A45:A47"/>
    <mergeCell ref="A49:A51"/>
    <mergeCell ref="A53:A55"/>
    <mergeCell ref="A57:A59"/>
    <mergeCell ref="A3:A5"/>
    <mergeCell ref="A7:A9"/>
    <mergeCell ref="A11:A13"/>
    <mergeCell ref="A15:A17"/>
    <mergeCell ref="A23:A25"/>
    <mergeCell ref="A27:A2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All Data</vt:lpstr>
      <vt:lpstr>Table lookup_N2</vt:lpstr>
      <vt:lpstr>cDNA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Corine Alexis Faehn</cp:lastModifiedBy>
  <dcterms:created xsi:type="dcterms:W3CDTF">2020-09-06T11:02:20Z</dcterms:created>
  <dcterms:modified xsi:type="dcterms:W3CDTF">2021-07-05T09:08:04Z</dcterms:modified>
</cp:coreProperties>
</file>