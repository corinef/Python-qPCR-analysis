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niversitetetitromso-my.sharepoint.com/personal/cfa024_uit_no/Documents/Master's Thesis/Methods/RNA-cDNA/"/>
    </mc:Choice>
  </mc:AlternateContent>
  <xr:revisionPtr revIDLastSave="2" documentId="13_ncr:40009_{DC43F035-57FA-584C-BB9C-F43FCE928808}" xr6:coauthVersionLast="47" xr6:coauthVersionMax="47" xr10:uidLastSave="{DC7CEDB3-9C47-CF40-AAC6-FB9DFABB5048}"/>
  <bookViews>
    <workbookView xWindow="5000" yWindow="500" windowWidth="22360" windowHeight="17500" xr2:uid="{00000000-000D-0000-FFFF-FFFF00000000}"/>
  </bookViews>
  <sheets>
    <sheet name="RNA" sheetId="1" r:id="rId1"/>
    <sheet name="Table_Lookup" sheetId="3" r:id="rId2"/>
    <sheet name="cDNA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G2" i="1"/>
  <c r="C65" i="2"/>
  <c r="D65" i="2"/>
  <c r="E65" i="2"/>
  <c r="F65" i="2"/>
  <c r="G65" i="2"/>
  <c r="H65" i="2"/>
  <c r="C64" i="2"/>
  <c r="D64" i="2"/>
  <c r="E64" i="2"/>
  <c r="F64" i="2"/>
  <c r="G64" i="2"/>
  <c r="H64" i="2"/>
  <c r="B65" i="2"/>
  <c r="B64" i="2"/>
  <c r="B60" i="2"/>
  <c r="C61" i="2"/>
  <c r="D61" i="2"/>
  <c r="E61" i="2"/>
  <c r="F61" i="2"/>
  <c r="G61" i="2"/>
  <c r="H61" i="2"/>
  <c r="I61" i="2"/>
  <c r="C60" i="2"/>
  <c r="D60" i="2"/>
  <c r="E60" i="2"/>
  <c r="F60" i="2"/>
  <c r="G60" i="2"/>
  <c r="H60" i="2"/>
  <c r="I60" i="2"/>
  <c r="B61" i="2"/>
  <c r="B53" i="2"/>
  <c r="C54" i="2"/>
  <c r="D54" i="2"/>
  <c r="E54" i="2"/>
  <c r="F54" i="2"/>
  <c r="G54" i="2"/>
  <c r="H54" i="2"/>
  <c r="I54" i="2"/>
  <c r="C53" i="2"/>
  <c r="D53" i="2"/>
  <c r="E53" i="2"/>
  <c r="F53" i="2"/>
  <c r="G53" i="2"/>
  <c r="H53" i="2"/>
  <c r="I53" i="2"/>
  <c r="B54" i="2"/>
  <c r="B49" i="2"/>
  <c r="C50" i="2"/>
  <c r="D50" i="2"/>
  <c r="E50" i="2"/>
  <c r="F50" i="2"/>
  <c r="G50" i="2"/>
  <c r="H50" i="2"/>
  <c r="I50" i="2"/>
  <c r="C49" i="2"/>
  <c r="D49" i="2"/>
  <c r="E49" i="2"/>
  <c r="F49" i="2"/>
  <c r="G49" i="2"/>
  <c r="H49" i="2"/>
  <c r="I49" i="2"/>
  <c r="B50" i="2"/>
  <c r="B45" i="2"/>
  <c r="C46" i="2"/>
  <c r="D46" i="2"/>
  <c r="E46" i="2"/>
  <c r="F46" i="2"/>
  <c r="G46" i="2"/>
  <c r="H46" i="2"/>
  <c r="I46" i="2"/>
  <c r="I45" i="2"/>
  <c r="C45" i="2"/>
  <c r="D45" i="2"/>
  <c r="E45" i="2"/>
  <c r="F45" i="2"/>
  <c r="G45" i="2"/>
  <c r="H45" i="2"/>
  <c r="B46" i="2"/>
  <c r="B41" i="2"/>
  <c r="C42" i="2"/>
  <c r="D42" i="2"/>
  <c r="E42" i="2"/>
  <c r="F42" i="2"/>
  <c r="G42" i="2"/>
  <c r="H42" i="2"/>
  <c r="I42" i="2"/>
  <c r="C41" i="2"/>
  <c r="D41" i="2"/>
  <c r="E41" i="2"/>
  <c r="F41" i="2"/>
  <c r="G41" i="2"/>
  <c r="H41" i="2"/>
  <c r="I41" i="2"/>
  <c r="B42" i="2"/>
  <c r="B34" i="2"/>
  <c r="C35" i="2"/>
  <c r="D35" i="2"/>
  <c r="E35" i="2"/>
  <c r="F35" i="2"/>
  <c r="G35" i="2"/>
  <c r="H35" i="2"/>
  <c r="I35" i="2"/>
  <c r="C34" i="2"/>
  <c r="D34" i="2"/>
  <c r="E34" i="2"/>
  <c r="F34" i="2"/>
  <c r="G34" i="2"/>
  <c r="H34" i="2"/>
  <c r="I34" i="2"/>
  <c r="B35" i="2"/>
  <c r="B31" i="2"/>
  <c r="B30" i="2"/>
  <c r="C31" i="2"/>
  <c r="D31" i="2"/>
  <c r="E31" i="2"/>
  <c r="F31" i="2"/>
  <c r="G31" i="2"/>
  <c r="H31" i="2"/>
  <c r="I31" i="2"/>
  <c r="C30" i="2"/>
  <c r="D30" i="2"/>
  <c r="E30" i="2"/>
  <c r="F30" i="2"/>
  <c r="G30" i="2"/>
  <c r="H30" i="2"/>
  <c r="I30" i="2"/>
  <c r="B26" i="2"/>
  <c r="C27" i="2"/>
  <c r="D27" i="2"/>
  <c r="E27" i="2"/>
  <c r="F27" i="2"/>
  <c r="G27" i="2"/>
  <c r="H27" i="2"/>
  <c r="I27" i="2"/>
  <c r="C26" i="2"/>
  <c r="D26" i="2"/>
  <c r="E26" i="2"/>
  <c r="F26" i="2"/>
  <c r="G26" i="2"/>
  <c r="H26" i="2"/>
  <c r="I26" i="2"/>
  <c r="B27" i="2"/>
  <c r="B22" i="2"/>
  <c r="C23" i="2"/>
  <c r="D23" i="2"/>
  <c r="E23" i="2"/>
  <c r="F23" i="2"/>
  <c r="G23" i="2"/>
  <c r="H23" i="2"/>
  <c r="I23" i="2"/>
  <c r="C22" i="2"/>
  <c r="D22" i="2"/>
  <c r="E22" i="2"/>
  <c r="F22" i="2"/>
  <c r="G22" i="2"/>
  <c r="H22" i="2"/>
  <c r="I22" i="2"/>
  <c r="B23" i="2"/>
  <c r="B15" i="2"/>
  <c r="C16" i="2"/>
  <c r="D16" i="2"/>
  <c r="E16" i="2"/>
  <c r="F16" i="2"/>
  <c r="G16" i="2"/>
  <c r="H16" i="2"/>
  <c r="I16" i="2"/>
  <c r="C15" i="2"/>
  <c r="D15" i="2"/>
  <c r="E15" i="2"/>
  <c r="F15" i="2"/>
  <c r="G15" i="2"/>
  <c r="H15" i="2"/>
  <c r="I15" i="2"/>
  <c r="B16" i="2"/>
  <c r="B11" i="2"/>
  <c r="C12" i="2"/>
  <c r="D12" i="2"/>
  <c r="E12" i="2"/>
  <c r="F12" i="2"/>
  <c r="G12" i="2"/>
  <c r="H12" i="2"/>
  <c r="I12" i="2"/>
  <c r="C11" i="2"/>
  <c r="D11" i="2"/>
  <c r="E11" i="2"/>
  <c r="F11" i="2"/>
  <c r="G11" i="2"/>
  <c r="H11" i="2"/>
  <c r="I11" i="2"/>
  <c r="B12" i="2"/>
  <c r="B7" i="2"/>
  <c r="C8" i="2"/>
  <c r="D8" i="2"/>
  <c r="E8" i="2"/>
  <c r="F8" i="2"/>
  <c r="G8" i="2"/>
  <c r="H8" i="2"/>
  <c r="I8" i="2"/>
  <c r="C7" i="2"/>
  <c r="D7" i="2"/>
  <c r="E7" i="2"/>
  <c r="F7" i="2"/>
  <c r="G7" i="2"/>
  <c r="H7" i="2"/>
  <c r="I7" i="2"/>
  <c r="B8" i="2"/>
  <c r="B3" i="2"/>
  <c r="C4" i="2"/>
  <c r="D4" i="2"/>
  <c r="E4" i="2"/>
  <c r="F4" i="2"/>
  <c r="G4" i="2"/>
  <c r="H4" i="2"/>
  <c r="I4" i="2"/>
  <c r="D3" i="2"/>
  <c r="E3" i="2"/>
  <c r="F3" i="2"/>
  <c r="G3" i="2"/>
  <c r="H3" i="2"/>
  <c r="I3" i="2"/>
  <c r="C3" i="2"/>
  <c r="G5" i="1"/>
  <c r="K3" i="1" l="1"/>
  <c r="K4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2" i="1"/>
  <c r="B4" i="2" s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3" i="1"/>
  <c r="J4" i="1"/>
  <c r="J5" i="1"/>
  <c r="K5" i="1" s="1"/>
  <c r="J6" i="1"/>
  <c r="J7" i="1"/>
  <c r="J8" i="1"/>
  <c r="J9" i="1"/>
  <c r="J1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3" i="1"/>
  <c r="G4" i="1"/>
</calcChain>
</file>

<file path=xl/sharedStrings.xml><?xml version="1.0" encoding="utf-8"?>
<sst xmlns="http://schemas.openxmlformats.org/spreadsheetml/2006/main" count="915" uniqueCount="242">
  <si>
    <t>Sample ID</t>
  </si>
  <si>
    <t>User name</t>
  </si>
  <si>
    <t>Date and Time</t>
  </si>
  <si>
    <t>Nucleic Acid Conc.</t>
  </si>
  <si>
    <t>Unit</t>
  </si>
  <si>
    <t>260/280</t>
  </si>
  <si>
    <t>260/230</t>
  </si>
  <si>
    <t>Sample Type</t>
  </si>
  <si>
    <t>Factor</t>
  </si>
  <si>
    <t>N13_1A_1</t>
  </si>
  <si>
    <t>Nanodrop 2000</t>
  </si>
  <si>
    <t>22.06.2021 11:44:58</t>
  </si>
  <si>
    <t>ng/µl</t>
  </si>
  <si>
    <t>RNA</t>
  </si>
  <si>
    <t>N13_1A_2</t>
  </si>
  <si>
    <t>22.06.2021 11:45:48</t>
  </si>
  <si>
    <t>N13_1A_3</t>
  </si>
  <si>
    <t>22.06.2021 11:48:28</t>
  </si>
  <si>
    <t>N13_1B_1</t>
  </si>
  <si>
    <t>22.06.2021 11:50:02</t>
  </si>
  <si>
    <t>N13_1B_2</t>
  </si>
  <si>
    <t>22.06.2021 11:50:45</t>
  </si>
  <si>
    <t>N13_1B_3</t>
  </si>
  <si>
    <t>22.06.2021 11:51:27</t>
  </si>
  <si>
    <t>N13_2A_1</t>
  </si>
  <si>
    <t>22.06.2021 11:52:03</t>
  </si>
  <si>
    <t>N13_2A_2</t>
  </si>
  <si>
    <t>22.06.2021 11:52:35</t>
  </si>
  <si>
    <t>N13_2A_3</t>
  </si>
  <si>
    <t>22.06.2021 11:53:10</t>
  </si>
  <si>
    <t>N13_2B_1</t>
  </si>
  <si>
    <t>22.06.2021 11:53:47</t>
  </si>
  <si>
    <t>N13_2B_3</t>
  </si>
  <si>
    <t>22.06.2021 11:54:25</t>
  </si>
  <si>
    <t>N13_3A_1</t>
  </si>
  <si>
    <t>22.06.2021 14:41:53</t>
  </si>
  <si>
    <t>N13_3A_2</t>
  </si>
  <si>
    <t>22.06.2021 14:42:34</t>
  </si>
  <si>
    <t>N13_3A_3</t>
  </si>
  <si>
    <t>22.06.2021 14:43:07</t>
  </si>
  <si>
    <t>N13_3B_1</t>
  </si>
  <si>
    <t>22.06.2021 14:43:48</t>
  </si>
  <si>
    <t>N13_3B_2</t>
  </si>
  <si>
    <t>22.06.2021 14:44:22</t>
  </si>
  <si>
    <t>N13_3B_3</t>
  </si>
  <si>
    <t>22.06.2021 14:45:01</t>
  </si>
  <si>
    <t>N13_4A_1</t>
  </si>
  <si>
    <t>22.06.2021 14:45:37</t>
  </si>
  <si>
    <t>N13_4A_2</t>
  </si>
  <si>
    <t>22.06.2021 14:46:09</t>
  </si>
  <si>
    <t>N13_4A_3</t>
  </si>
  <si>
    <t>22.06.2021 14:46:49</t>
  </si>
  <si>
    <t>N13_4B_1</t>
  </si>
  <si>
    <t>22.06.2021 14:47:24</t>
  </si>
  <si>
    <t>N13_4B_2</t>
  </si>
  <si>
    <t>22.06.2021 14:47:55</t>
  </si>
  <si>
    <t>N13_4B_3</t>
  </si>
  <si>
    <t>22.06.2021 14:48:33</t>
  </si>
  <si>
    <t>N13_5A_1</t>
  </si>
  <si>
    <t>22.06.2021 14:49:11</t>
  </si>
  <si>
    <t>N13_5A_2</t>
  </si>
  <si>
    <t>22.06.2021 14:49:51</t>
  </si>
  <si>
    <t>N13_5A_3</t>
  </si>
  <si>
    <t>22.06.2021 14:50:26</t>
  </si>
  <si>
    <t>N13_5B_1</t>
  </si>
  <si>
    <t>22.06.2021 14:50:59</t>
  </si>
  <si>
    <t>N13_5B_2</t>
  </si>
  <si>
    <t>22.06.2021 14:51:34</t>
  </si>
  <si>
    <t>N13_5B_3</t>
  </si>
  <si>
    <t>22.06.2021 14:52:11</t>
  </si>
  <si>
    <t>N13_6A_1</t>
  </si>
  <si>
    <t>24.06.2021 11:18:20</t>
  </si>
  <si>
    <t>N13_6A_2</t>
  </si>
  <si>
    <t>24.06.2021 11:19:02</t>
  </si>
  <si>
    <t>N13_6A_3</t>
  </si>
  <si>
    <t>24.06.2021 11:19:35</t>
  </si>
  <si>
    <t>N13_6B_1</t>
  </si>
  <si>
    <t>24.06.2021 11:20:08</t>
  </si>
  <si>
    <t>N13_6B_2</t>
  </si>
  <si>
    <t>24.06.2021 11:20:47</t>
  </si>
  <si>
    <t>N13_6B_3</t>
  </si>
  <si>
    <t>24.06.2021 11:21:19</t>
  </si>
  <si>
    <t>N13_7A_1</t>
  </si>
  <si>
    <t>24.06.2021 11:22:19</t>
  </si>
  <si>
    <t>N13_7A_2</t>
  </si>
  <si>
    <t>24.06.2021 11:22:57</t>
  </si>
  <si>
    <t>N13_7A_3</t>
  </si>
  <si>
    <t>24.06.2021 11:23:35</t>
  </si>
  <si>
    <t>N13_7B_1</t>
  </si>
  <si>
    <t>24.06.2021 11:24:12</t>
  </si>
  <si>
    <t>N13_7B_2</t>
  </si>
  <si>
    <t>24.06.2021 11:24:43</t>
  </si>
  <si>
    <t>N13_7B_3</t>
  </si>
  <si>
    <t>24.06.2021 11:25:21</t>
  </si>
  <si>
    <t>N13_8A_1</t>
  </si>
  <si>
    <t>24.06.2021 11:26:04</t>
  </si>
  <si>
    <t>N13_8A_2</t>
  </si>
  <si>
    <t>24.06.2021 11:26:40</t>
  </si>
  <si>
    <t>N13_8A_3</t>
  </si>
  <si>
    <t>24.06.2021 11:27:40</t>
  </si>
  <si>
    <t>N13_8B_1</t>
  </si>
  <si>
    <t>24.06.2021 11:28:34</t>
  </si>
  <si>
    <t>N13_8B_2</t>
  </si>
  <si>
    <t>24.06.2021 11:29:09</t>
  </si>
  <si>
    <t>N13_8B_3</t>
  </si>
  <si>
    <t>24.06.2021 11:29:42</t>
  </si>
  <si>
    <t>N13_8C_1</t>
  </si>
  <si>
    <t>24.06.2021 13:51:15</t>
  </si>
  <si>
    <t>N13_8C_2</t>
  </si>
  <si>
    <t>24.06.2021 13:51:47</t>
  </si>
  <si>
    <t>N13_8C_3</t>
  </si>
  <si>
    <t>24.06.2021 13:52:22</t>
  </si>
  <si>
    <t>N13_8D_1</t>
  </si>
  <si>
    <t>24.06.2021 13:52:54</t>
  </si>
  <si>
    <t>N13_8D_2</t>
  </si>
  <si>
    <t>24.06.2021 13:53:26</t>
  </si>
  <si>
    <t>N13_8D_3</t>
  </si>
  <si>
    <t>24.06.2021 13:53:58</t>
  </si>
  <si>
    <t>N13_9A_1</t>
  </si>
  <si>
    <t>24.06.2021 13:54:33</t>
  </si>
  <si>
    <t>N13_9A_2</t>
  </si>
  <si>
    <t>24.06.2021 13:55:07</t>
  </si>
  <si>
    <t>N13_9A_3</t>
  </si>
  <si>
    <t>24.06.2021 13:55:40</t>
  </si>
  <si>
    <t>N13_9B_1</t>
  </si>
  <si>
    <t>24.06.2021 13:56:22</t>
  </si>
  <si>
    <t>N13_9B_2</t>
  </si>
  <si>
    <t>24.06.2021 13:56:57</t>
  </si>
  <si>
    <t>N13_9B_3</t>
  </si>
  <si>
    <t>24.06.2021 13:57:33</t>
  </si>
  <si>
    <t>N13_9C_1</t>
  </si>
  <si>
    <t>24.06.2021 13:58:09</t>
  </si>
  <si>
    <t>N13_9C_2</t>
  </si>
  <si>
    <t>24.06.2021 13:58:43</t>
  </si>
  <si>
    <t>N13_9C_3</t>
  </si>
  <si>
    <t>24.06.2021 13:59:19</t>
  </si>
  <si>
    <t>N13_9D_1</t>
  </si>
  <si>
    <t>24.06.2021 13:59:53</t>
  </si>
  <si>
    <t>N13_9D_2</t>
  </si>
  <si>
    <t>24.06.2021 14:00:27</t>
  </si>
  <si>
    <t>N13_9D_3</t>
  </si>
  <si>
    <t>24.06.2021 14:00:59</t>
  </si>
  <si>
    <t>N13_10A_1</t>
  </si>
  <si>
    <t>29.06.2021 11:12:04</t>
  </si>
  <si>
    <t>N13_10A_2</t>
  </si>
  <si>
    <t>29.06.2021 11:12:43</t>
  </si>
  <si>
    <t>N13_10A_3</t>
  </si>
  <si>
    <t>29.06.2021 11:13:19</t>
  </si>
  <si>
    <t>N13_10B_1</t>
  </si>
  <si>
    <t>29.06.2021 11:14:16</t>
  </si>
  <si>
    <t>N13_10B_2</t>
  </si>
  <si>
    <t>29.06.2021 11:14:49</t>
  </si>
  <si>
    <t>N13_10B_3</t>
  </si>
  <si>
    <t>29.06.2021 11:15:26</t>
  </si>
  <si>
    <t>N13_10C_1</t>
  </si>
  <si>
    <t>29.06.2021 11:16:07</t>
  </si>
  <si>
    <t>N13_10C_2</t>
  </si>
  <si>
    <t>29.06.2021 11:16:45</t>
  </si>
  <si>
    <t>N13_10C_3</t>
  </si>
  <si>
    <t>29.06.2021 11:17:24</t>
  </si>
  <si>
    <t>N13_10D_1</t>
  </si>
  <si>
    <t>29.06.2021 11:18:10</t>
  </si>
  <si>
    <t>N13_10D_2</t>
  </si>
  <si>
    <t>29.06.2021 11:18:50</t>
  </si>
  <si>
    <t>N13_10D_3</t>
  </si>
  <si>
    <t>29.06.2021 11:19:30</t>
  </si>
  <si>
    <t>N13_11A_1</t>
  </si>
  <si>
    <t>29.06.2021 11:20:10</t>
  </si>
  <si>
    <t>N13_11A_2</t>
  </si>
  <si>
    <t>29.06.2021 11:20:41</t>
  </si>
  <si>
    <t>N13_11A_3</t>
  </si>
  <si>
    <t>29.06.2021 11:21:14</t>
  </si>
  <si>
    <t>N13_11B_1</t>
  </si>
  <si>
    <t>29.06.2021 11:21:50</t>
  </si>
  <si>
    <t>N13_11B_2</t>
  </si>
  <si>
    <t>29.06.2021 11:22:22</t>
  </si>
  <si>
    <t>N13_11B_3</t>
  </si>
  <si>
    <t>29.06.2021 11:22:51</t>
  </si>
  <si>
    <t>N13_11C_1</t>
  </si>
  <si>
    <t>29.06.2021 12:53:01</t>
  </si>
  <si>
    <t>N13_11C_2</t>
  </si>
  <si>
    <t>29.06.2021 12:53:31</t>
  </si>
  <si>
    <t>N13_11C_3</t>
  </si>
  <si>
    <t>29.06.2021 12:54:04</t>
  </si>
  <si>
    <t>N13_11D_1</t>
  </si>
  <si>
    <t>29.06.2021 12:55:30</t>
  </si>
  <si>
    <t>N13_11D_2</t>
  </si>
  <si>
    <t>29.06.2021 12:56:02</t>
  </si>
  <si>
    <t>N13_11D_3</t>
  </si>
  <si>
    <t>29.06.2021 12:56:34</t>
  </si>
  <si>
    <t>N13_12A_1</t>
  </si>
  <si>
    <t>29.06.2021 12:57:13</t>
  </si>
  <si>
    <t>N13_12A_2</t>
  </si>
  <si>
    <t>29.06.2021 12:57:48</t>
  </si>
  <si>
    <t>N13_12A_3</t>
  </si>
  <si>
    <t>29.06.2021 12:58:23</t>
  </si>
  <si>
    <t>N13_12B_1</t>
  </si>
  <si>
    <t>29.06.2021 12:59:10</t>
  </si>
  <si>
    <t>N13_12B_2</t>
  </si>
  <si>
    <t>29.06.2021 12:59:42</t>
  </si>
  <si>
    <t>N13_12B_3</t>
  </si>
  <si>
    <t>29.06.2021 13:00:15</t>
  </si>
  <si>
    <t>N13_12C_1</t>
  </si>
  <si>
    <t>29.06.2021 13:00:51</t>
  </si>
  <si>
    <t>N13_12C_2</t>
  </si>
  <si>
    <t>29.06.2021 13:01:21</t>
  </si>
  <si>
    <t>N13_12C_3</t>
  </si>
  <si>
    <t>29.06.2021 13:01:55</t>
  </si>
  <si>
    <t>N13_12D_1</t>
  </si>
  <si>
    <t>29.06.2021 13:02:27</t>
  </si>
  <si>
    <t>N13_12D_2</t>
  </si>
  <si>
    <t>29.06.2021 13:02:59</t>
  </si>
  <si>
    <t>N13_12D_3</t>
  </si>
  <si>
    <t>29.06.2021 13:03:30</t>
  </si>
  <si>
    <t>N13_13A_1</t>
  </si>
  <si>
    <t>01.07.2021 12:06:50</t>
  </si>
  <si>
    <t>N13_13A_2</t>
  </si>
  <si>
    <t>01.07.2021 12:07:23</t>
  </si>
  <si>
    <t>N13_13A_3</t>
  </si>
  <si>
    <t>01.07.2021 12:07:51</t>
  </si>
  <si>
    <t>N13_13B_1</t>
  </si>
  <si>
    <t>01.07.2021 12:08:26</t>
  </si>
  <si>
    <t>N13_13B_2</t>
  </si>
  <si>
    <t>01.07.2021 12:08:56</t>
  </si>
  <si>
    <t>N13_13B_3</t>
  </si>
  <si>
    <t>01.07.2021 12:09:26</t>
  </si>
  <si>
    <t>N13_13C_1</t>
  </si>
  <si>
    <t>01.07.2021 12:09:56</t>
  </si>
  <si>
    <t>N13_13C_3</t>
  </si>
  <si>
    <t>01.07.2021 12:10:26</t>
  </si>
  <si>
    <t>N13_13D_1</t>
  </si>
  <si>
    <t>01.07.2021 12:10:59</t>
  </si>
  <si>
    <t>N13_13D_2</t>
  </si>
  <si>
    <t>01.07.2021 12:11:29</t>
  </si>
  <si>
    <t>N13_13D_3</t>
  </si>
  <si>
    <t>01.07.2021 12:12:00</t>
  </si>
  <si>
    <t>INDEX</t>
  </si>
  <si>
    <t>uL to get 750 ng (0.75 ug)</t>
  </si>
  <si>
    <t>Volume RNA (max 6uL)</t>
  </si>
  <si>
    <t>Volume water</t>
  </si>
  <si>
    <t>cDNA strips for N13</t>
  </si>
  <si>
    <t>MISSING: N13_1A_2, 2B_2,13_C_2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</si>
</sst>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1" x14ac:knownFonts="1">
    <font>
      <sz val="10"/>
      <name val="Arial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2"/>
      <name val="Calibri"/>
      <family val="2"/>
    </font>
    <font>
      <sz val="1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0" fontId="18" fillId="33" borderId="10" xfId="0" applyFont="1" applyFill="1" applyBorder="1"/>
    <xf numFmtId="0" fontId="18" fillId="33" borderId="11" xfId="0" applyFont="1" applyFill="1" applyBorder="1"/>
    <xf numFmtId="0" fontId="18" fillId="34" borderId="11" xfId="0" applyFont="1" applyFill="1" applyBorder="1"/>
    <xf numFmtId="164" fontId="0" fillId="0" borderId="0" xfId="0" applyNumberFormat="1"/>
    <xf numFmtId="2" fontId="0" fillId="0" borderId="0" xfId="0" applyNumberFormat="1"/>
    <xf numFmtId="2" fontId="0" fillId="34" borderId="0" xfId="0" applyNumberFormat="1" applyFill="1"/>
    <xf numFmtId="2" fontId="0" fillId="35" borderId="0" xfId="0" applyNumberFormat="1" applyFill="1"/>
    <xf numFmtId="0" fontId="0" fillId="36" borderId="0" xfId="0" applyFill="1"/>
    <xf numFmtId="164" fontId="0" fillId="36" borderId="0" xfId="0" applyNumberFormat="1" applyFill="1"/>
    <xf numFmtId="2" fontId="0" fillId="36" borderId="0" xfId="0" applyNumberFormat="1" applyFill="1"/>
    <xf numFmtId="0" fontId="19" fillId="0" borderId="12" xfId="0" applyFont="1" applyBorder="1" applyAlignment="1">
      <alignment vertical="center" wrapText="1"/>
    </xf>
    <xf numFmtId="0" fontId="19" fillId="0" borderId="13" xfId="0" applyFont="1" applyBorder="1" applyAlignment="1">
      <alignment vertical="center" wrapText="1"/>
    </xf>
    <xf numFmtId="0" fontId="18" fillId="0" borderId="11" xfId="0" applyFont="1" applyBorder="1"/>
    <xf numFmtId="165" fontId="0" fillId="0" borderId="0" xfId="0" applyNumberFormat="1"/>
    <xf numFmtId="0" fontId="20" fillId="0" borderId="0" xfId="0" applyFont="1"/>
    <xf numFmtId="0" fontId="0" fillId="0" borderId="14" xfId="0" applyBorder="1"/>
    <xf numFmtId="0" fontId="0" fillId="0" borderId="16" xfId="0" applyBorder="1"/>
    <xf numFmtId="0" fontId="0" fillId="0" borderId="15" xfId="0" applyBorder="1"/>
    <xf numFmtId="0" fontId="20" fillId="0" borderId="15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13"/>
  <sheetViews>
    <sheetView tabSelected="1" topLeftCell="D1" zoomScale="125" workbookViewId="0">
      <selection activeCell="K2" sqref="K2"/>
    </sheetView>
  </sheetViews>
  <sheetFormatPr baseColWidth="10" defaultRowHeight="13" x14ac:dyDescent="0.15"/>
  <cols>
    <col min="2" max="2" width="12.6640625" customWidth="1"/>
    <col min="3" max="3" width="15.5" customWidth="1"/>
    <col min="4" max="4" width="20" customWidth="1"/>
    <col min="5" max="5" width="11" customWidth="1"/>
    <col min="6" max="6" width="8.1640625" customWidth="1"/>
    <col min="7" max="7" width="21.6640625" customWidth="1"/>
    <col min="8" max="8" width="12.5" customWidth="1"/>
    <col min="9" max="9" width="16.5" customWidth="1"/>
    <col min="10" max="10" width="20.33203125" customWidth="1"/>
    <col min="11" max="11" width="18.1640625" customWidth="1"/>
    <col min="12" max="12" width="8" customWidth="1"/>
    <col min="13" max="13" width="8.33203125" customWidth="1"/>
  </cols>
  <sheetData>
    <row r="1" spans="1:13" ht="13" customHeight="1" x14ac:dyDescent="0.15">
      <c r="A1" s="1" t="s">
        <v>236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237</v>
      </c>
      <c r="H1" s="1" t="s">
        <v>5</v>
      </c>
      <c r="I1" s="1" t="s">
        <v>6</v>
      </c>
      <c r="J1" s="3" t="s">
        <v>238</v>
      </c>
      <c r="K1" s="2" t="s">
        <v>239</v>
      </c>
      <c r="L1" s="1" t="s">
        <v>7</v>
      </c>
      <c r="M1" s="1" t="s">
        <v>8</v>
      </c>
    </row>
    <row r="2" spans="1:13" ht="13" customHeight="1" x14ac:dyDescent="0.15">
      <c r="A2">
        <v>0</v>
      </c>
      <c r="B2" t="s">
        <v>9</v>
      </c>
      <c r="C2" t="s">
        <v>10</v>
      </c>
      <c r="D2" t="s">
        <v>11</v>
      </c>
      <c r="E2">
        <v>54.1</v>
      </c>
      <c r="F2" t="s">
        <v>12</v>
      </c>
      <c r="G2" s="4">
        <f>750/E2</f>
        <v>13.863216266173753</v>
      </c>
      <c r="H2">
        <v>2.15</v>
      </c>
      <c r="I2">
        <v>1.96</v>
      </c>
      <c r="J2" s="6">
        <f>IF(G2&gt;=6, 6, G2)</f>
        <v>6</v>
      </c>
      <c r="K2" s="7">
        <f>6-J2</f>
        <v>0</v>
      </c>
      <c r="L2" t="s">
        <v>13</v>
      </c>
      <c r="M2">
        <v>40</v>
      </c>
    </row>
    <row r="3" spans="1:13" ht="13" customHeight="1" x14ac:dyDescent="0.15">
      <c r="A3" s="8">
        <v>1</v>
      </c>
      <c r="B3" s="8" t="s">
        <v>14</v>
      </c>
      <c r="C3" s="8" t="s">
        <v>10</v>
      </c>
      <c r="D3" s="8" t="s">
        <v>15</v>
      </c>
      <c r="E3" s="8">
        <v>2.8</v>
      </c>
      <c r="F3" s="8" t="s">
        <v>12</v>
      </c>
      <c r="G3" s="9">
        <f t="shared" ref="G3:G66" si="0">750/E3</f>
        <v>267.85714285714289</v>
      </c>
      <c r="H3" s="8">
        <v>1.3</v>
      </c>
      <c r="I3" s="8">
        <v>0.16</v>
      </c>
      <c r="J3" s="10">
        <f t="shared" ref="J3:J66" si="1">IF(G3&gt;=6, 6, G3)</f>
        <v>6</v>
      </c>
      <c r="K3" s="10">
        <f t="shared" ref="K3:K66" si="2">6-J3</f>
        <v>0</v>
      </c>
      <c r="L3" s="8" t="s">
        <v>13</v>
      </c>
      <c r="M3" s="8">
        <v>40</v>
      </c>
    </row>
    <row r="4" spans="1:13" ht="13" customHeight="1" x14ac:dyDescent="0.15">
      <c r="A4">
        <v>2</v>
      </c>
      <c r="B4" t="s">
        <v>16</v>
      </c>
      <c r="C4" t="s">
        <v>10</v>
      </c>
      <c r="D4" t="s">
        <v>17</v>
      </c>
      <c r="E4">
        <v>339.8</v>
      </c>
      <c r="F4" t="s">
        <v>12</v>
      </c>
      <c r="G4" s="4">
        <f t="shared" si="0"/>
        <v>2.2071806945261918</v>
      </c>
      <c r="H4">
        <v>2.13</v>
      </c>
      <c r="I4">
        <v>1.62</v>
      </c>
      <c r="J4" s="6">
        <f t="shared" si="1"/>
        <v>2.2071806945261918</v>
      </c>
      <c r="K4" s="7">
        <f t="shared" si="2"/>
        <v>3.7928193054738082</v>
      </c>
      <c r="L4" t="s">
        <v>13</v>
      </c>
      <c r="M4">
        <v>40</v>
      </c>
    </row>
    <row r="5" spans="1:13" ht="13" customHeight="1" x14ac:dyDescent="0.15">
      <c r="A5">
        <v>3</v>
      </c>
      <c r="B5" t="s">
        <v>18</v>
      </c>
      <c r="C5" t="s">
        <v>10</v>
      </c>
      <c r="D5" t="s">
        <v>19</v>
      </c>
      <c r="E5">
        <v>354.6</v>
      </c>
      <c r="F5" t="s">
        <v>12</v>
      </c>
      <c r="G5" s="4">
        <f t="shared" si="0"/>
        <v>2.1150592216582065</v>
      </c>
      <c r="H5">
        <v>2.14</v>
      </c>
      <c r="I5">
        <v>1.0900000000000001</v>
      </c>
      <c r="J5" s="6">
        <f t="shared" si="1"/>
        <v>2.1150592216582065</v>
      </c>
      <c r="K5" s="7">
        <f t="shared" si="2"/>
        <v>3.8849407783417935</v>
      </c>
      <c r="L5" t="s">
        <v>13</v>
      </c>
      <c r="M5">
        <v>40</v>
      </c>
    </row>
    <row r="6" spans="1:13" ht="13" customHeight="1" x14ac:dyDescent="0.15">
      <c r="A6">
        <v>4</v>
      </c>
      <c r="B6" t="s">
        <v>20</v>
      </c>
      <c r="C6" t="s">
        <v>10</v>
      </c>
      <c r="D6" t="s">
        <v>21</v>
      </c>
      <c r="E6">
        <v>159.1</v>
      </c>
      <c r="F6" t="s">
        <v>12</v>
      </c>
      <c r="G6" s="4">
        <f t="shared" si="0"/>
        <v>4.714016341923319</v>
      </c>
      <c r="H6">
        <v>2.12</v>
      </c>
      <c r="I6">
        <v>0.76</v>
      </c>
      <c r="J6" s="6">
        <f t="shared" si="1"/>
        <v>4.714016341923319</v>
      </c>
      <c r="K6" s="7">
        <f t="shared" si="2"/>
        <v>1.285983658076681</v>
      </c>
      <c r="L6" t="s">
        <v>13</v>
      </c>
      <c r="M6">
        <v>40</v>
      </c>
    </row>
    <row r="7" spans="1:13" ht="13" customHeight="1" x14ac:dyDescent="0.15">
      <c r="A7">
        <v>5</v>
      </c>
      <c r="B7" t="s">
        <v>22</v>
      </c>
      <c r="C7" t="s">
        <v>10</v>
      </c>
      <c r="D7" t="s">
        <v>23</v>
      </c>
      <c r="E7">
        <v>351.7</v>
      </c>
      <c r="F7" t="s">
        <v>12</v>
      </c>
      <c r="G7" s="4">
        <f t="shared" si="0"/>
        <v>2.1324992891669039</v>
      </c>
      <c r="H7">
        <v>2.14</v>
      </c>
      <c r="I7">
        <v>2.27</v>
      </c>
      <c r="J7" s="6">
        <f t="shared" si="1"/>
        <v>2.1324992891669039</v>
      </c>
      <c r="K7" s="7">
        <f t="shared" si="2"/>
        <v>3.8675007108330961</v>
      </c>
      <c r="L7" t="s">
        <v>13</v>
      </c>
      <c r="M7">
        <v>40</v>
      </c>
    </row>
    <row r="8" spans="1:13" ht="13" customHeight="1" x14ac:dyDescent="0.15">
      <c r="A8">
        <v>6</v>
      </c>
      <c r="B8" t="s">
        <v>24</v>
      </c>
      <c r="C8" t="s">
        <v>10</v>
      </c>
      <c r="D8" t="s">
        <v>25</v>
      </c>
      <c r="E8">
        <v>322</v>
      </c>
      <c r="F8" t="s">
        <v>12</v>
      </c>
      <c r="G8" s="4">
        <f t="shared" si="0"/>
        <v>2.329192546583851</v>
      </c>
      <c r="H8">
        <v>2.13</v>
      </c>
      <c r="I8">
        <v>1.52</v>
      </c>
      <c r="J8" s="6">
        <f t="shared" si="1"/>
        <v>2.329192546583851</v>
      </c>
      <c r="K8" s="7">
        <f t="shared" si="2"/>
        <v>3.670807453416149</v>
      </c>
      <c r="L8" t="s">
        <v>13</v>
      </c>
      <c r="M8">
        <v>40</v>
      </c>
    </row>
    <row r="9" spans="1:13" ht="13" customHeight="1" x14ac:dyDescent="0.15">
      <c r="A9">
        <v>7</v>
      </c>
      <c r="B9" t="s">
        <v>26</v>
      </c>
      <c r="C9" t="s">
        <v>10</v>
      </c>
      <c r="D9" t="s">
        <v>27</v>
      </c>
      <c r="E9">
        <v>131.30000000000001</v>
      </c>
      <c r="F9" t="s">
        <v>12</v>
      </c>
      <c r="G9" s="4">
        <f t="shared" si="0"/>
        <v>5.7121096725057114</v>
      </c>
      <c r="H9">
        <v>2.13</v>
      </c>
      <c r="I9">
        <v>1.88</v>
      </c>
      <c r="J9" s="6">
        <f t="shared" si="1"/>
        <v>5.7121096725057114</v>
      </c>
      <c r="K9" s="7">
        <f t="shared" si="2"/>
        <v>0.28789032749428856</v>
      </c>
      <c r="L9" t="s">
        <v>13</v>
      </c>
      <c r="M9">
        <v>40</v>
      </c>
    </row>
    <row r="10" spans="1:13" ht="13" customHeight="1" x14ac:dyDescent="0.15">
      <c r="A10">
        <v>8</v>
      </c>
      <c r="B10" t="s">
        <v>28</v>
      </c>
      <c r="C10" t="s">
        <v>10</v>
      </c>
      <c r="D10" t="s">
        <v>29</v>
      </c>
      <c r="E10">
        <v>126</v>
      </c>
      <c r="F10" t="s">
        <v>12</v>
      </c>
      <c r="G10" s="4">
        <f t="shared" si="0"/>
        <v>5.9523809523809526</v>
      </c>
      <c r="H10">
        <v>2.1</v>
      </c>
      <c r="I10">
        <v>1.55</v>
      </c>
      <c r="J10" s="6">
        <f t="shared" si="1"/>
        <v>5.9523809523809526</v>
      </c>
      <c r="K10" s="7">
        <f t="shared" si="2"/>
        <v>4.761904761904745E-2</v>
      </c>
      <c r="L10" t="s">
        <v>13</v>
      </c>
      <c r="M10">
        <v>40</v>
      </c>
    </row>
    <row r="11" spans="1:13" ht="13" customHeight="1" x14ac:dyDescent="0.15">
      <c r="A11">
        <v>9</v>
      </c>
      <c r="B11" t="s">
        <v>30</v>
      </c>
      <c r="C11" t="s">
        <v>10</v>
      </c>
      <c r="D11" t="s">
        <v>31</v>
      </c>
      <c r="E11">
        <v>74</v>
      </c>
      <c r="F11" t="s">
        <v>12</v>
      </c>
      <c r="G11" s="4">
        <f t="shared" si="0"/>
        <v>10.135135135135135</v>
      </c>
      <c r="H11">
        <v>1.98</v>
      </c>
      <c r="I11">
        <v>0.98</v>
      </c>
      <c r="J11" s="6">
        <f t="shared" si="1"/>
        <v>6</v>
      </c>
      <c r="K11" s="7">
        <f t="shared" si="2"/>
        <v>0</v>
      </c>
      <c r="L11" t="s">
        <v>13</v>
      </c>
      <c r="M11">
        <v>40</v>
      </c>
    </row>
    <row r="12" spans="1:13" ht="13" customHeight="1" x14ac:dyDescent="0.15">
      <c r="A12">
        <v>10</v>
      </c>
      <c r="B12" t="s">
        <v>32</v>
      </c>
      <c r="C12" t="s">
        <v>10</v>
      </c>
      <c r="D12" t="s">
        <v>33</v>
      </c>
      <c r="E12">
        <v>466.7</v>
      </c>
      <c r="F12" t="s">
        <v>12</v>
      </c>
      <c r="G12" s="4">
        <f t="shared" si="0"/>
        <v>1.6070280694236125</v>
      </c>
      <c r="H12">
        <v>2.11</v>
      </c>
      <c r="I12">
        <v>2.2200000000000002</v>
      </c>
      <c r="J12" s="6">
        <f t="shared" si="1"/>
        <v>1.6070280694236125</v>
      </c>
      <c r="K12" s="7">
        <f t="shared" si="2"/>
        <v>4.3929719305763877</v>
      </c>
      <c r="L12" t="s">
        <v>13</v>
      </c>
      <c r="M12">
        <v>40</v>
      </c>
    </row>
    <row r="13" spans="1:13" ht="13" customHeight="1" x14ac:dyDescent="0.15">
      <c r="A13">
        <v>11</v>
      </c>
      <c r="B13" t="s">
        <v>34</v>
      </c>
      <c r="C13" t="s">
        <v>10</v>
      </c>
      <c r="D13" t="s">
        <v>35</v>
      </c>
      <c r="E13">
        <v>392.2</v>
      </c>
      <c r="F13" t="s">
        <v>12</v>
      </c>
      <c r="G13" s="4">
        <f t="shared" si="0"/>
        <v>1.9122896481387048</v>
      </c>
      <c r="H13">
        <v>2.14</v>
      </c>
      <c r="I13">
        <v>2.2200000000000002</v>
      </c>
      <c r="J13" s="6">
        <f t="shared" si="1"/>
        <v>1.9122896481387048</v>
      </c>
      <c r="K13" s="7">
        <f t="shared" si="2"/>
        <v>4.0877103518612952</v>
      </c>
      <c r="L13" t="s">
        <v>13</v>
      </c>
      <c r="M13">
        <v>40</v>
      </c>
    </row>
    <row r="14" spans="1:13" ht="13" customHeight="1" x14ac:dyDescent="0.15">
      <c r="A14">
        <v>12</v>
      </c>
      <c r="B14" t="s">
        <v>36</v>
      </c>
      <c r="C14" t="s">
        <v>10</v>
      </c>
      <c r="D14" t="s">
        <v>37</v>
      </c>
      <c r="E14">
        <v>431</v>
      </c>
      <c r="F14" t="s">
        <v>12</v>
      </c>
      <c r="G14" s="4">
        <f t="shared" si="0"/>
        <v>1.740139211136891</v>
      </c>
      <c r="H14">
        <v>2.1</v>
      </c>
      <c r="I14">
        <v>1.91</v>
      </c>
      <c r="J14" s="6">
        <f t="shared" si="1"/>
        <v>1.740139211136891</v>
      </c>
      <c r="K14" s="7">
        <f t="shared" si="2"/>
        <v>4.2598607888631088</v>
      </c>
      <c r="L14" t="s">
        <v>13</v>
      </c>
      <c r="M14">
        <v>40</v>
      </c>
    </row>
    <row r="15" spans="1:13" ht="13" customHeight="1" x14ac:dyDescent="0.15">
      <c r="A15">
        <v>13</v>
      </c>
      <c r="B15" t="s">
        <v>38</v>
      </c>
      <c r="C15" t="s">
        <v>10</v>
      </c>
      <c r="D15" t="s">
        <v>39</v>
      </c>
      <c r="E15">
        <v>336.7</v>
      </c>
      <c r="F15" t="s">
        <v>12</v>
      </c>
      <c r="G15" s="4">
        <f t="shared" si="0"/>
        <v>2.2275022275022276</v>
      </c>
      <c r="H15">
        <v>2.14</v>
      </c>
      <c r="I15">
        <v>1.61</v>
      </c>
      <c r="J15" s="6">
        <f t="shared" si="1"/>
        <v>2.2275022275022276</v>
      </c>
      <c r="K15" s="7">
        <f t="shared" si="2"/>
        <v>3.7724977724977724</v>
      </c>
      <c r="L15" t="s">
        <v>13</v>
      </c>
      <c r="M15">
        <v>40</v>
      </c>
    </row>
    <row r="16" spans="1:13" ht="13" customHeight="1" x14ac:dyDescent="0.15">
      <c r="A16">
        <v>14</v>
      </c>
      <c r="B16" t="s">
        <v>40</v>
      </c>
      <c r="C16" t="s">
        <v>10</v>
      </c>
      <c r="D16" t="s">
        <v>41</v>
      </c>
      <c r="E16">
        <v>378.1</v>
      </c>
      <c r="F16" t="s">
        <v>12</v>
      </c>
      <c r="G16" s="4">
        <f t="shared" si="0"/>
        <v>1.9836022216344882</v>
      </c>
      <c r="H16">
        <v>2.14</v>
      </c>
      <c r="I16">
        <v>2.25</v>
      </c>
      <c r="J16" s="6">
        <f t="shared" si="1"/>
        <v>1.9836022216344882</v>
      </c>
      <c r="K16" s="7">
        <f t="shared" si="2"/>
        <v>4.016397778365512</v>
      </c>
      <c r="L16" t="s">
        <v>13</v>
      </c>
      <c r="M16">
        <v>40</v>
      </c>
    </row>
    <row r="17" spans="1:13" ht="13" customHeight="1" x14ac:dyDescent="0.15">
      <c r="A17">
        <v>15</v>
      </c>
      <c r="B17" t="s">
        <v>42</v>
      </c>
      <c r="C17" t="s">
        <v>10</v>
      </c>
      <c r="D17" t="s">
        <v>43</v>
      </c>
      <c r="E17">
        <v>687</v>
      </c>
      <c r="F17" t="s">
        <v>12</v>
      </c>
      <c r="G17" s="4">
        <f t="shared" si="0"/>
        <v>1.0917030567685591</v>
      </c>
      <c r="H17">
        <v>2.17</v>
      </c>
      <c r="I17">
        <v>2.34</v>
      </c>
      <c r="J17" s="6">
        <f t="shared" si="1"/>
        <v>1.0917030567685591</v>
      </c>
      <c r="K17" s="7">
        <f t="shared" si="2"/>
        <v>4.9082969432314414</v>
      </c>
      <c r="L17" t="s">
        <v>13</v>
      </c>
      <c r="M17">
        <v>40</v>
      </c>
    </row>
    <row r="18" spans="1:13" ht="13" customHeight="1" x14ac:dyDescent="0.15">
      <c r="A18">
        <v>16</v>
      </c>
      <c r="B18" t="s">
        <v>44</v>
      </c>
      <c r="C18" t="s">
        <v>10</v>
      </c>
      <c r="D18" t="s">
        <v>45</v>
      </c>
      <c r="E18">
        <v>254.6</v>
      </c>
      <c r="F18" t="s">
        <v>12</v>
      </c>
      <c r="G18" s="4">
        <f t="shared" si="0"/>
        <v>2.9457973291437551</v>
      </c>
      <c r="H18">
        <v>2.14</v>
      </c>
      <c r="I18">
        <v>1.93</v>
      </c>
      <c r="J18" s="6">
        <f t="shared" si="1"/>
        <v>2.9457973291437551</v>
      </c>
      <c r="K18" s="7">
        <f t="shared" si="2"/>
        <v>3.0542026708562449</v>
      </c>
      <c r="L18" t="s">
        <v>13</v>
      </c>
      <c r="M18">
        <v>40</v>
      </c>
    </row>
    <row r="19" spans="1:13" ht="13" customHeight="1" x14ac:dyDescent="0.15">
      <c r="A19">
        <v>17</v>
      </c>
      <c r="B19" t="s">
        <v>46</v>
      </c>
      <c r="C19" t="s">
        <v>10</v>
      </c>
      <c r="D19" t="s">
        <v>47</v>
      </c>
      <c r="E19">
        <v>223.5</v>
      </c>
      <c r="F19" t="s">
        <v>12</v>
      </c>
      <c r="G19" s="4">
        <f t="shared" si="0"/>
        <v>3.3557046979865772</v>
      </c>
      <c r="H19">
        <v>2.12</v>
      </c>
      <c r="I19">
        <v>1.59</v>
      </c>
      <c r="J19" s="6">
        <f t="shared" si="1"/>
        <v>3.3557046979865772</v>
      </c>
      <c r="K19" s="7">
        <f t="shared" si="2"/>
        <v>2.6442953020134228</v>
      </c>
      <c r="L19" t="s">
        <v>13</v>
      </c>
      <c r="M19">
        <v>40</v>
      </c>
    </row>
    <row r="20" spans="1:13" ht="13" customHeight="1" x14ac:dyDescent="0.15">
      <c r="A20">
        <v>18</v>
      </c>
      <c r="B20" t="s">
        <v>48</v>
      </c>
      <c r="C20" t="s">
        <v>10</v>
      </c>
      <c r="D20" t="s">
        <v>49</v>
      </c>
      <c r="E20">
        <v>179.8</v>
      </c>
      <c r="F20" t="s">
        <v>12</v>
      </c>
      <c r="G20" s="4">
        <f t="shared" si="0"/>
        <v>4.1713014460511673</v>
      </c>
      <c r="H20">
        <v>2.14</v>
      </c>
      <c r="I20">
        <v>0.96</v>
      </c>
      <c r="J20" s="6">
        <f t="shared" si="1"/>
        <v>4.1713014460511673</v>
      </c>
      <c r="K20" s="7">
        <f t="shared" si="2"/>
        <v>1.8286985539488327</v>
      </c>
      <c r="L20" t="s">
        <v>13</v>
      </c>
      <c r="M20">
        <v>40</v>
      </c>
    </row>
    <row r="21" spans="1:13" ht="13" customHeight="1" x14ac:dyDescent="0.15">
      <c r="A21">
        <v>19</v>
      </c>
      <c r="B21" t="s">
        <v>50</v>
      </c>
      <c r="C21" t="s">
        <v>10</v>
      </c>
      <c r="D21" t="s">
        <v>51</v>
      </c>
      <c r="E21">
        <v>256.3</v>
      </c>
      <c r="F21" t="s">
        <v>12</v>
      </c>
      <c r="G21" s="4">
        <f t="shared" si="0"/>
        <v>2.926258291065158</v>
      </c>
      <c r="H21">
        <v>2.14</v>
      </c>
      <c r="I21">
        <v>2.19</v>
      </c>
      <c r="J21" s="6">
        <f t="shared" si="1"/>
        <v>2.926258291065158</v>
      </c>
      <c r="K21" s="7">
        <f t="shared" si="2"/>
        <v>3.073741708934842</v>
      </c>
      <c r="L21" t="s">
        <v>13</v>
      </c>
      <c r="M21">
        <v>40</v>
      </c>
    </row>
    <row r="22" spans="1:13" ht="13" customHeight="1" x14ac:dyDescent="0.15">
      <c r="A22">
        <v>20</v>
      </c>
      <c r="B22" t="s">
        <v>52</v>
      </c>
      <c r="C22" t="s">
        <v>10</v>
      </c>
      <c r="D22" t="s">
        <v>53</v>
      </c>
      <c r="E22">
        <v>306.7</v>
      </c>
      <c r="F22" t="s">
        <v>12</v>
      </c>
      <c r="G22" s="4">
        <f t="shared" si="0"/>
        <v>2.4453863710466255</v>
      </c>
      <c r="H22">
        <v>2.15</v>
      </c>
      <c r="I22">
        <v>1.21</v>
      </c>
      <c r="J22" s="6">
        <f t="shared" si="1"/>
        <v>2.4453863710466255</v>
      </c>
      <c r="K22" s="7">
        <f t="shared" si="2"/>
        <v>3.5546136289533745</v>
      </c>
      <c r="L22" t="s">
        <v>13</v>
      </c>
      <c r="M22">
        <v>40</v>
      </c>
    </row>
    <row r="23" spans="1:13" ht="13" customHeight="1" x14ac:dyDescent="0.15">
      <c r="A23">
        <v>21</v>
      </c>
      <c r="B23" t="s">
        <v>54</v>
      </c>
      <c r="C23" t="s">
        <v>10</v>
      </c>
      <c r="D23" t="s">
        <v>55</v>
      </c>
      <c r="E23">
        <v>673.1</v>
      </c>
      <c r="F23" t="s">
        <v>12</v>
      </c>
      <c r="G23" s="4">
        <f t="shared" si="0"/>
        <v>1.114247511513891</v>
      </c>
      <c r="H23">
        <v>2.1800000000000002</v>
      </c>
      <c r="I23">
        <v>2.12</v>
      </c>
      <c r="J23" s="6">
        <f t="shared" si="1"/>
        <v>1.114247511513891</v>
      </c>
      <c r="K23" s="7">
        <f t="shared" si="2"/>
        <v>4.8857524884861085</v>
      </c>
      <c r="L23" t="s">
        <v>13</v>
      </c>
      <c r="M23">
        <v>40</v>
      </c>
    </row>
    <row r="24" spans="1:13" ht="13" customHeight="1" x14ac:dyDescent="0.15">
      <c r="A24">
        <v>22</v>
      </c>
      <c r="B24" t="s">
        <v>56</v>
      </c>
      <c r="C24" t="s">
        <v>10</v>
      </c>
      <c r="D24" t="s">
        <v>57</v>
      </c>
      <c r="E24">
        <v>422.4</v>
      </c>
      <c r="F24" t="s">
        <v>12</v>
      </c>
      <c r="G24" s="4">
        <f t="shared" si="0"/>
        <v>1.7755681818181819</v>
      </c>
      <c r="H24">
        <v>2.14</v>
      </c>
      <c r="I24">
        <v>2.2400000000000002</v>
      </c>
      <c r="J24" s="6">
        <f t="shared" si="1"/>
        <v>1.7755681818181819</v>
      </c>
      <c r="K24" s="7">
        <f t="shared" si="2"/>
        <v>4.2244318181818183</v>
      </c>
      <c r="L24" t="s">
        <v>13</v>
      </c>
      <c r="M24">
        <v>40</v>
      </c>
    </row>
    <row r="25" spans="1:13" ht="13" customHeight="1" x14ac:dyDescent="0.15">
      <c r="A25">
        <v>23</v>
      </c>
      <c r="B25" t="s">
        <v>58</v>
      </c>
      <c r="C25" t="s">
        <v>10</v>
      </c>
      <c r="D25" t="s">
        <v>59</v>
      </c>
      <c r="E25">
        <v>421.8</v>
      </c>
      <c r="F25" t="s">
        <v>12</v>
      </c>
      <c r="G25" s="4">
        <f t="shared" si="0"/>
        <v>1.7780938833570412</v>
      </c>
      <c r="H25">
        <v>2.15</v>
      </c>
      <c r="I25">
        <v>2.2400000000000002</v>
      </c>
      <c r="J25" s="6">
        <f t="shared" si="1"/>
        <v>1.7780938833570412</v>
      </c>
      <c r="K25" s="7">
        <f t="shared" si="2"/>
        <v>4.221906116642959</v>
      </c>
      <c r="L25" t="s">
        <v>13</v>
      </c>
      <c r="M25">
        <v>40</v>
      </c>
    </row>
    <row r="26" spans="1:13" ht="13" customHeight="1" x14ac:dyDescent="0.15">
      <c r="A26">
        <v>24</v>
      </c>
      <c r="B26" t="s">
        <v>60</v>
      </c>
      <c r="C26" t="s">
        <v>10</v>
      </c>
      <c r="D26" t="s">
        <v>61</v>
      </c>
      <c r="E26">
        <v>279.3</v>
      </c>
      <c r="F26" t="s">
        <v>12</v>
      </c>
      <c r="G26" s="4">
        <f t="shared" si="0"/>
        <v>2.685284640171858</v>
      </c>
      <c r="H26">
        <v>2.1</v>
      </c>
      <c r="I26">
        <v>1.64</v>
      </c>
      <c r="J26" s="6">
        <f t="shared" si="1"/>
        <v>2.685284640171858</v>
      </c>
      <c r="K26" s="7">
        <f t="shared" si="2"/>
        <v>3.314715359828142</v>
      </c>
      <c r="L26" t="s">
        <v>13</v>
      </c>
      <c r="M26">
        <v>40</v>
      </c>
    </row>
    <row r="27" spans="1:13" ht="13" customHeight="1" x14ac:dyDescent="0.15">
      <c r="A27">
        <v>25</v>
      </c>
      <c r="B27" t="s">
        <v>62</v>
      </c>
      <c r="C27" t="s">
        <v>10</v>
      </c>
      <c r="D27" t="s">
        <v>63</v>
      </c>
      <c r="E27">
        <v>262</v>
      </c>
      <c r="F27" t="s">
        <v>12</v>
      </c>
      <c r="G27" s="4">
        <f t="shared" si="0"/>
        <v>2.8625954198473282</v>
      </c>
      <c r="H27">
        <v>2.1</v>
      </c>
      <c r="I27">
        <v>1.39</v>
      </c>
      <c r="J27" s="6">
        <f t="shared" si="1"/>
        <v>2.8625954198473282</v>
      </c>
      <c r="K27" s="7">
        <f t="shared" si="2"/>
        <v>3.1374045801526718</v>
      </c>
      <c r="L27" t="s">
        <v>13</v>
      </c>
      <c r="M27">
        <v>40</v>
      </c>
    </row>
    <row r="28" spans="1:13" ht="13" customHeight="1" x14ac:dyDescent="0.15">
      <c r="A28">
        <v>26</v>
      </c>
      <c r="B28" t="s">
        <v>64</v>
      </c>
      <c r="C28" t="s">
        <v>10</v>
      </c>
      <c r="D28" t="s">
        <v>65</v>
      </c>
      <c r="E28">
        <v>393.5</v>
      </c>
      <c r="F28" t="s">
        <v>12</v>
      </c>
      <c r="G28" s="4">
        <f t="shared" si="0"/>
        <v>1.9059720457433291</v>
      </c>
      <c r="H28">
        <v>2.14</v>
      </c>
      <c r="I28">
        <v>2.19</v>
      </c>
      <c r="J28" s="6">
        <f t="shared" si="1"/>
        <v>1.9059720457433291</v>
      </c>
      <c r="K28" s="7">
        <f t="shared" si="2"/>
        <v>4.0940279542566707</v>
      </c>
      <c r="L28" t="s">
        <v>13</v>
      </c>
      <c r="M28">
        <v>40</v>
      </c>
    </row>
    <row r="29" spans="1:13" ht="13" customHeight="1" x14ac:dyDescent="0.15">
      <c r="A29">
        <v>27</v>
      </c>
      <c r="B29" t="s">
        <v>66</v>
      </c>
      <c r="C29" t="s">
        <v>10</v>
      </c>
      <c r="D29" t="s">
        <v>67</v>
      </c>
      <c r="E29">
        <v>364</v>
      </c>
      <c r="F29" t="s">
        <v>12</v>
      </c>
      <c r="G29" s="4">
        <f t="shared" si="0"/>
        <v>2.0604395604395602</v>
      </c>
      <c r="H29">
        <v>2.13</v>
      </c>
      <c r="I29">
        <v>2.2000000000000002</v>
      </c>
      <c r="J29" s="6">
        <f t="shared" si="1"/>
        <v>2.0604395604395602</v>
      </c>
      <c r="K29" s="7">
        <f t="shared" si="2"/>
        <v>3.9395604395604398</v>
      </c>
      <c r="L29" t="s">
        <v>13</v>
      </c>
      <c r="M29">
        <v>40</v>
      </c>
    </row>
    <row r="30" spans="1:13" ht="13" customHeight="1" x14ac:dyDescent="0.15">
      <c r="A30">
        <v>28</v>
      </c>
      <c r="B30" t="s">
        <v>68</v>
      </c>
      <c r="C30" t="s">
        <v>10</v>
      </c>
      <c r="D30" t="s">
        <v>69</v>
      </c>
      <c r="E30">
        <v>391.7</v>
      </c>
      <c r="F30" t="s">
        <v>12</v>
      </c>
      <c r="G30" s="4">
        <f t="shared" si="0"/>
        <v>1.9147306612203217</v>
      </c>
      <c r="H30">
        <v>2.15</v>
      </c>
      <c r="I30">
        <v>1.54</v>
      </c>
      <c r="J30" s="6">
        <f t="shared" si="1"/>
        <v>1.9147306612203217</v>
      </c>
      <c r="K30" s="7">
        <f t="shared" si="2"/>
        <v>4.0852693387796783</v>
      </c>
      <c r="L30" t="s">
        <v>13</v>
      </c>
      <c r="M30">
        <v>40</v>
      </c>
    </row>
    <row r="31" spans="1:13" ht="13" customHeight="1" x14ac:dyDescent="0.15">
      <c r="A31">
        <v>29</v>
      </c>
      <c r="B31" t="s">
        <v>70</v>
      </c>
      <c r="C31" t="s">
        <v>10</v>
      </c>
      <c r="D31" t="s">
        <v>71</v>
      </c>
      <c r="E31">
        <v>255.1</v>
      </c>
      <c r="F31" t="s">
        <v>12</v>
      </c>
      <c r="G31" s="4">
        <f t="shared" si="0"/>
        <v>2.9400235201881615</v>
      </c>
      <c r="H31">
        <v>2.15</v>
      </c>
      <c r="I31">
        <v>2.1800000000000002</v>
      </c>
      <c r="J31" s="6">
        <f t="shared" si="1"/>
        <v>2.9400235201881615</v>
      </c>
      <c r="K31" s="7">
        <f t="shared" si="2"/>
        <v>3.0599764798118385</v>
      </c>
      <c r="L31" t="s">
        <v>13</v>
      </c>
      <c r="M31">
        <v>40</v>
      </c>
    </row>
    <row r="32" spans="1:13" ht="13" customHeight="1" x14ac:dyDescent="0.15">
      <c r="A32">
        <v>30</v>
      </c>
      <c r="B32" t="s">
        <v>72</v>
      </c>
      <c r="C32" t="s">
        <v>10</v>
      </c>
      <c r="D32" t="s">
        <v>73</v>
      </c>
      <c r="E32">
        <v>268.7</v>
      </c>
      <c r="F32" t="s">
        <v>12</v>
      </c>
      <c r="G32" s="4">
        <f t="shared" si="0"/>
        <v>2.7912169705991814</v>
      </c>
      <c r="H32">
        <v>2.15</v>
      </c>
      <c r="I32">
        <v>2.2400000000000002</v>
      </c>
      <c r="J32" s="6">
        <f t="shared" si="1"/>
        <v>2.7912169705991814</v>
      </c>
      <c r="K32" s="7">
        <f t="shared" si="2"/>
        <v>3.2087830294008186</v>
      </c>
      <c r="L32" t="s">
        <v>13</v>
      </c>
      <c r="M32">
        <v>40</v>
      </c>
    </row>
    <row r="33" spans="1:13" ht="13" customHeight="1" x14ac:dyDescent="0.15">
      <c r="A33">
        <v>31</v>
      </c>
      <c r="B33" t="s">
        <v>74</v>
      </c>
      <c r="C33" t="s">
        <v>10</v>
      </c>
      <c r="D33" t="s">
        <v>75</v>
      </c>
      <c r="E33">
        <v>210.9</v>
      </c>
      <c r="F33" t="s">
        <v>12</v>
      </c>
      <c r="G33" s="4">
        <f t="shared" si="0"/>
        <v>3.5561877667140824</v>
      </c>
      <c r="H33">
        <v>2.15</v>
      </c>
      <c r="I33">
        <v>1.72</v>
      </c>
      <c r="J33" s="6">
        <f t="shared" si="1"/>
        <v>3.5561877667140824</v>
      </c>
      <c r="K33" s="7">
        <f t="shared" si="2"/>
        <v>2.4438122332859176</v>
      </c>
      <c r="L33" t="s">
        <v>13</v>
      </c>
      <c r="M33">
        <v>40</v>
      </c>
    </row>
    <row r="34" spans="1:13" ht="13" customHeight="1" x14ac:dyDescent="0.15">
      <c r="A34">
        <v>32</v>
      </c>
      <c r="B34" t="s">
        <v>76</v>
      </c>
      <c r="C34" t="s">
        <v>10</v>
      </c>
      <c r="D34" t="s">
        <v>77</v>
      </c>
      <c r="E34">
        <v>145.9</v>
      </c>
      <c r="F34" t="s">
        <v>12</v>
      </c>
      <c r="G34" s="4">
        <f t="shared" si="0"/>
        <v>5.1405071967100753</v>
      </c>
      <c r="H34">
        <v>2.15</v>
      </c>
      <c r="I34">
        <v>1.51</v>
      </c>
      <c r="J34" s="6">
        <f t="shared" si="1"/>
        <v>5.1405071967100753</v>
      </c>
      <c r="K34" s="7">
        <f t="shared" si="2"/>
        <v>0.85949280328992472</v>
      </c>
      <c r="L34" t="s">
        <v>13</v>
      </c>
      <c r="M34">
        <v>40</v>
      </c>
    </row>
    <row r="35" spans="1:13" ht="13" customHeight="1" x14ac:dyDescent="0.15">
      <c r="A35">
        <v>33</v>
      </c>
      <c r="B35" t="s">
        <v>78</v>
      </c>
      <c r="C35" t="s">
        <v>10</v>
      </c>
      <c r="D35" t="s">
        <v>79</v>
      </c>
      <c r="E35">
        <v>281.3</v>
      </c>
      <c r="F35" t="s">
        <v>12</v>
      </c>
      <c r="G35" s="4">
        <f t="shared" si="0"/>
        <v>2.6661926768574475</v>
      </c>
      <c r="H35">
        <v>2.15</v>
      </c>
      <c r="I35">
        <v>1.96</v>
      </c>
      <c r="J35" s="6">
        <f t="shared" si="1"/>
        <v>2.6661926768574475</v>
      </c>
      <c r="K35" s="7">
        <f t="shared" si="2"/>
        <v>3.3338073231425525</v>
      </c>
      <c r="L35" t="s">
        <v>13</v>
      </c>
      <c r="M35">
        <v>40</v>
      </c>
    </row>
    <row r="36" spans="1:13" ht="13" customHeight="1" x14ac:dyDescent="0.15">
      <c r="A36">
        <v>34</v>
      </c>
      <c r="B36" t="s">
        <v>80</v>
      </c>
      <c r="C36" t="s">
        <v>10</v>
      </c>
      <c r="D36" t="s">
        <v>81</v>
      </c>
      <c r="E36">
        <v>295.3</v>
      </c>
      <c r="F36" t="s">
        <v>12</v>
      </c>
      <c r="G36" s="4">
        <f t="shared" si="0"/>
        <v>2.5397900440230274</v>
      </c>
      <c r="H36">
        <v>2.15</v>
      </c>
      <c r="I36">
        <v>2.14</v>
      </c>
      <c r="J36" s="6">
        <f t="shared" si="1"/>
        <v>2.5397900440230274</v>
      </c>
      <c r="K36" s="7">
        <f t="shared" si="2"/>
        <v>3.4602099559769726</v>
      </c>
      <c r="L36" t="s">
        <v>13</v>
      </c>
      <c r="M36">
        <v>40</v>
      </c>
    </row>
    <row r="37" spans="1:13" ht="13" customHeight="1" x14ac:dyDescent="0.15">
      <c r="A37">
        <v>35</v>
      </c>
      <c r="B37" t="s">
        <v>82</v>
      </c>
      <c r="C37" t="s">
        <v>10</v>
      </c>
      <c r="D37" t="s">
        <v>83</v>
      </c>
      <c r="E37">
        <v>266.2</v>
      </c>
      <c r="F37" t="s">
        <v>12</v>
      </c>
      <c r="G37" s="4">
        <f t="shared" si="0"/>
        <v>2.8174305033809168</v>
      </c>
      <c r="H37">
        <v>2.16</v>
      </c>
      <c r="I37">
        <v>1.06</v>
      </c>
      <c r="J37" s="6">
        <f t="shared" si="1"/>
        <v>2.8174305033809168</v>
      </c>
      <c r="K37" s="7">
        <f t="shared" si="2"/>
        <v>3.1825694966190832</v>
      </c>
      <c r="L37" t="s">
        <v>13</v>
      </c>
      <c r="M37">
        <v>40</v>
      </c>
    </row>
    <row r="38" spans="1:13" ht="13" customHeight="1" x14ac:dyDescent="0.15">
      <c r="A38">
        <v>36</v>
      </c>
      <c r="B38" t="s">
        <v>84</v>
      </c>
      <c r="C38" t="s">
        <v>10</v>
      </c>
      <c r="D38" t="s">
        <v>85</v>
      </c>
      <c r="E38">
        <v>121.6</v>
      </c>
      <c r="F38" t="s">
        <v>12</v>
      </c>
      <c r="G38" s="4">
        <f t="shared" si="0"/>
        <v>6.1677631578947372</v>
      </c>
      <c r="H38">
        <v>2.17</v>
      </c>
      <c r="I38">
        <v>1.02</v>
      </c>
      <c r="J38" s="6">
        <f t="shared" si="1"/>
        <v>6</v>
      </c>
      <c r="K38" s="7">
        <f t="shared" si="2"/>
        <v>0</v>
      </c>
      <c r="L38" t="s">
        <v>13</v>
      </c>
      <c r="M38">
        <v>40</v>
      </c>
    </row>
    <row r="39" spans="1:13" ht="13" customHeight="1" x14ac:dyDescent="0.15">
      <c r="A39">
        <v>37</v>
      </c>
      <c r="B39" t="s">
        <v>86</v>
      </c>
      <c r="C39" t="s">
        <v>10</v>
      </c>
      <c r="D39" t="s">
        <v>87</v>
      </c>
      <c r="E39">
        <v>207.3</v>
      </c>
      <c r="F39" t="s">
        <v>12</v>
      </c>
      <c r="G39" s="4">
        <f t="shared" si="0"/>
        <v>3.6179450072358899</v>
      </c>
      <c r="H39">
        <v>2.14</v>
      </c>
      <c r="I39">
        <v>2.1800000000000002</v>
      </c>
      <c r="J39" s="6">
        <f t="shared" si="1"/>
        <v>3.6179450072358899</v>
      </c>
      <c r="K39" s="7">
        <f t="shared" si="2"/>
        <v>2.3820549927641101</v>
      </c>
      <c r="L39" t="s">
        <v>13</v>
      </c>
      <c r="M39">
        <v>40</v>
      </c>
    </row>
    <row r="40" spans="1:13" ht="13" customHeight="1" x14ac:dyDescent="0.15">
      <c r="A40">
        <v>38</v>
      </c>
      <c r="B40" t="s">
        <v>88</v>
      </c>
      <c r="C40" t="s">
        <v>10</v>
      </c>
      <c r="D40" t="s">
        <v>89</v>
      </c>
      <c r="E40">
        <v>164.2</v>
      </c>
      <c r="F40" t="s">
        <v>12</v>
      </c>
      <c r="G40" s="4">
        <f t="shared" si="0"/>
        <v>4.5676004872107185</v>
      </c>
      <c r="H40">
        <v>2.15</v>
      </c>
      <c r="I40">
        <v>1.63</v>
      </c>
      <c r="J40" s="6">
        <f t="shared" si="1"/>
        <v>4.5676004872107185</v>
      </c>
      <c r="K40" s="7">
        <f t="shared" si="2"/>
        <v>1.4323995127892815</v>
      </c>
      <c r="L40" t="s">
        <v>13</v>
      </c>
      <c r="M40">
        <v>40</v>
      </c>
    </row>
    <row r="41" spans="1:13" ht="13" customHeight="1" x14ac:dyDescent="0.15">
      <c r="A41">
        <v>39</v>
      </c>
      <c r="B41" t="s">
        <v>90</v>
      </c>
      <c r="C41" t="s">
        <v>10</v>
      </c>
      <c r="D41" t="s">
        <v>91</v>
      </c>
      <c r="E41">
        <v>115.4</v>
      </c>
      <c r="F41" t="s">
        <v>12</v>
      </c>
      <c r="G41" s="4">
        <f t="shared" si="0"/>
        <v>6.4991334488734829</v>
      </c>
      <c r="H41">
        <v>2.14</v>
      </c>
      <c r="I41">
        <v>2.2000000000000002</v>
      </c>
      <c r="J41" s="6">
        <f t="shared" si="1"/>
        <v>6</v>
      </c>
      <c r="K41" s="7">
        <f t="shared" si="2"/>
        <v>0</v>
      </c>
      <c r="L41" t="s">
        <v>13</v>
      </c>
      <c r="M41">
        <v>40</v>
      </c>
    </row>
    <row r="42" spans="1:13" ht="13" customHeight="1" x14ac:dyDescent="0.15">
      <c r="A42">
        <v>40</v>
      </c>
      <c r="B42" t="s">
        <v>92</v>
      </c>
      <c r="C42" t="s">
        <v>10</v>
      </c>
      <c r="D42" t="s">
        <v>93</v>
      </c>
      <c r="E42">
        <v>297.2</v>
      </c>
      <c r="F42" t="s">
        <v>12</v>
      </c>
      <c r="G42" s="4">
        <f t="shared" si="0"/>
        <v>2.5235531628532977</v>
      </c>
      <c r="H42">
        <v>2.15</v>
      </c>
      <c r="I42">
        <v>2.29</v>
      </c>
      <c r="J42" s="6">
        <f t="shared" si="1"/>
        <v>2.5235531628532977</v>
      </c>
      <c r="K42" s="7">
        <f t="shared" si="2"/>
        <v>3.4764468371467023</v>
      </c>
      <c r="L42" t="s">
        <v>13</v>
      </c>
      <c r="M42">
        <v>40</v>
      </c>
    </row>
    <row r="43" spans="1:13" ht="13" customHeight="1" x14ac:dyDescent="0.15">
      <c r="A43">
        <v>41</v>
      </c>
      <c r="B43" t="s">
        <v>94</v>
      </c>
      <c r="C43" t="s">
        <v>10</v>
      </c>
      <c r="D43" t="s">
        <v>95</v>
      </c>
      <c r="E43">
        <v>225.6</v>
      </c>
      <c r="F43" t="s">
        <v>12</v>
      </c>
      <c r="G43" s="4">
        <f t="shared" si="0"/>
        <v>3.3244680851063833</v>
      </c>
      <c r="H43">
        <v>2.14</v>
      </c>
      <c r="I43">
        <v>2.12</v>
      </c>
      <c r="J43" s="6">
        <f t="shared" si="1"/>
        <v>3.3244680851063833</v>
      </c>
      <c r="K43" s="7">
        <f t="shared" si="2"/>
        <v>2.6755319148936167</v>
      </c>
      <c r="L43" t="s">
        <v>13</v>
      </c>
      <c r="M43">
        <v>40</v>
      </c>
    </row>
    <row r="44" spans="1:13" ht="13" customHeight="1" x14ac:dyDescent="0.15">
      <c r="A44">
        <v>42</v>
      </c>
      <c r="B44" t="s">
        <v>96</v>
      </c>
      <c r="C44" t="s">
        <v>10</v>
      </c>
      <c r="D44" t="s">
        <v>97</v>
      </c>
      <c r="E44">
        <v>378.8</v>
      </c>
      <c r="F44" t="s">
        <v>12</v>
      </c>
      <c r="G44" s="4">
        <f t="shared" si="0"/>
        <v>1.9799366420274551</v>
      </c>
      <c r="H44">
        <v>2.15</v>
      </c>
      <c r="I44">
        <v>2.27</v>
      </c>
      <c r="J44" s="6">
        <f t="shared" si="1"/>
        <v>1.9799366420274551</v>
      </c>
      <c r="K44" s="7">
        <f t="shared" si="2"/>
        <v>4.0200633579725444</v>
      </c>
      <c r="L44" t="s">
        <v>13</v>
      </c>
      <c r="M44">
        <v>40</v>
      </c>
    </row>
    <row r="45" spans="1:13" ht="13" customHeight="1" x14ac:dyDescent="0.15">
      <c r="A45">
        <v>43</v>
      </c>
      <c r="B45" t="s">
        <v>98</v>
      </c>
      <c r="C45" t="s">
        <v>10</v>
      </c>
      <c r="D45" t="s">
        <v>99</v>
      </c>
      <c r="E45">
        <v>193.3</v>
      </c>
      <c r="F45" t="s">
        <v>12</v>
      </c>
      <c r="G45" s="4">
        <f t="shared" si="0"/>
        <v>3.8799793067770305</v>
      </c>
      <c r="H45">
        <v>2.12</v>
      </c>
      <c r="I45">
        <v>1.87</v>
      </c>
      <c r="J45" s="6">
        <f t="shared" si="1"/>
        <v>3.8799793067770305</v>
      </c>
      <c r="K45" s="7">
        <f t="shared" si="2"/>
        <v>2.1200206932229695</v>
      </c>
      <c r="L45" t="s">
        <v>13</v>
      </c>
      <c r="M45">
        <v>40</v>
      </c>
    </row>
    <row r="46" spans="1:13" ht="13" customHeight="1" x14ac:dyDescent="0.15">
      <c r="A46">
        <v>44</v>
      </c>
      <c r="B46" t="s">
        <v>100</v>
      </c>
      <c r="C46" t="s">
        <v>10</v>
      </c>
      <c r="D46" t="s">
        <v>101</v>
      </c>
      <c r="E46">
        <v>584.20000000000005</v>
      </c>
      <c r="F46" t="s">
        <v>12</v>
      </c>
      <c r="G46" s="4">
        <f t="shared" si="0"/>
        <v>1.2838069154399177</v>
      </c>
      <c r="H46">
        <v>2.13</v>
      </c>
      <c r="I46">
        <v>2.29</v>
      </c>
      <c r="J46" s="6">
        <f t="shared" si="1"/>
        <v>1.2838069154399177</v>
      </c>
      <c r="K46" s="7">
        <f t="shared" si="2"/>
        <v>4.7161930845600821</v>
      </c>
      <c r="L46" t="s">
        <v>13</v>
      </c>
      <c r="M46">
        <v>40</v>
      </c>
    </row>
    <row r="47" spans="1:13" ht="13" customHeight="1" x14ac:dyDescent="0.15">
      <c r="A47">
        <v>45</v>
      </c>
      <c r="B47" t="s">
        <v>102</v>
      </c>
      <c r="C47" t="s">
        <v>10</v>
      </c>
      <c r="D47" t="s">
        <v>103</v>
      </c>
      <c r="E47">
        <v>250.4</v>
      </c>
      <c r="F47" t="s">
        <v>12</v>
      </c>
      <c r="G47" s="4">
        <f t="shared" si="0"/>
        <v>2.9952076677316293</v>
      </c>
      <c r="H47">
        <v>2.16</v>
      </c>
      <c r="I47">
        <v>1.28</v>
      </c>
      <c r="J47" s="6">
        <f t="shared" si="1"/>
        <v>2.9952076677316293</v>
      </c>
      <c r="K47" s="7">
        <f t="shared" si="2"/>
        <v>3.0047923322683707</v>
      </c>
      <c r="L47" t="s">
        <v>13</v>
      </c>
      <c r="M47">
        <v>40</v>
      </c>
    </row>
    <row r="48" spans="1:13" ht="13" customHeight="1" x14ac:dyDescent="0.15">
      <c r="A48">
        <v>46</v>
      </c>
      <c r="B48" t="s">
        <v>104</v>
      </c>
      <c r="C48" t="s">
        <v>10</v>
      </c>
      <c r="D48" t="s">
        <v>105</v>
      </c>
      <c r="E48">
        <v>163</v>
      </c>
      <c r="F48" t="s">
        <v>12</v>
      </c>
      <c r="G48" s="4">
        <f t="shared" si="0"/>
        <v>4.6012269938650308</v>
      </c>
      <c r="H48">
        <v>2.15</v>
      </c>
      <c r="I48">
        <v>2.2000000000000002</v>
      </c>
      <c r="J48" s="6">
        <f t="shared" si="1"/>
        <v>4.6012269938650308</v>
      </c>
      <c r="K48" s="7">
        <f t="shared" si="2"/>
        <v>1.3987730061349692</v>
      </c>
      <c r="L48" t="s">
        <v>13</v>
      </c>
      <c r="M48">
        <v>40</v>
      </c>
    </row>
    <row r="49" spans="1:13" ht="13" customHeight="1" x14ac:dyDescent="0.15">
      <c r="A49">
        <v>47</v>
      </c>
      <c r="B49" t="s">
        <v>106</v>
      </c>
      <c r="C49" t="s">
        <v>10</v>
      </c>
      <c r="D49" t="s">
        <v>107</v>
      </c>
      <c r="E49">
        <v>469.4</v>
      </c>
      <c r="F49" t="s">
        <v>12</v>
      </c>
      <c r="G49" s="4">
        <f t="shared" si="0"/>
        <v>1.5977844056242012</v>
      </c>
      <c r="H49">
        <v>2.14</v>
      </c>
      <c r="I49">
        <v>2.2200000000000002</v>
      </c>
      <c r="J49" s="6">
        <f t="shared" si="1"/>
        <v>1.5977844056242012</v>
      </c>
      <c r="K49" s="7">
        <f t="shared" si="2"/>
        <v>4.4022155943757983</v>
      </c>
      <c r="L49" t="s">
        <v>13</v>
      </c>
      <c r="M49">
        <v>40</v>
      </c>
    </row>
    <row r="50" spans="1:13" ht="13" customHeight="1" x14ac:dyDescent="0.15">
      <c r="A50">
        <v>48</v>
      </c>
      <c r="B50" t="s">
        <v>108</v>
      </c>
      <c r="C50" t="s">
        <v>10</v>
      </c>
      <c r="D50" t="s">
        <v>109</v>
      </c>
      <c r="E50">
        <v>448</v>
      </c>
      <c r="F50" t="s">
        <v>12</v>
      </c>
      <c r="G50" s="4">
        <f t="shared" si="0"/>
        <v>1.6741071428571428</v>
      </c>
      <c r="H50">
        <v>2.14</v>
      </c>
      <c r="I50">
        <v>2.29</v>
      </c>
      <c r="J50" s="6">
        <f t="shared" si="1"/>
        <v>1.6741071428571428</v>
      </c>
      <c r="K50" s="7">
        <f t="shared" si="2"/>
        <v>4.3258928571428577</v>
      </c>
      <c r="L50" t="s">
        <v>13</v>
      </c>
      <c r="M50">
        <v>40</v>
      </c>
    </row>
    <row r="51" spans="1:13" ht="13" customHeight="1" x14ac:dyDescent="0.15">
      <c r="A51">
        <v>49</v>
      </c>
      <c r="B51" t="s">
        <v>110</v>
      </c>
      <c r="C51" t="s">
        <v>10</v>
      </c>
      <c r="D51" t="s">
        <v>111</v>
      </c>
      <c r="E51">
        <v>442.1</v>
      </c>
      <c r="F51" t="s">
        <v>12</v>
      </c>
      <c r="G51" s="4">
        <f t="shared" si="0"/>
        <v>1.696448767247229</v>
      </c>
      <c r="H51">
        <v>2.14</v>
      </c>
      <c r="I51">
        <v>1.92</v>
      </c>
      <c r="J51" s="6">
        <f t="shared" si="1"/>
        <v>1.696448767247229</v>
      </c>
      <c r="K51" s="7">
        <f t="shared" si="2"/>
        <v>4.3035512327527705</v>
      </c>
      <c r="L51" t="s">
        <v>13</v>
      </c>
      <c r="M51">
        <v>40</v>
      </c>
    </row>
    <row r="52" spans="1:13" ht="13" customHeight="1" x14ac:dyDescent="0.15">
      <c r="A52">
        <v>50</v>
      </c>
      <c r="B52" t="s">
        <v>112</v>
      </c>
      <c r="C52" t="s">
        <v>10</v>
      </c>
      <c r="D52" t="s">
        <v>113</v>
      </c>
      <c r="E52">
        <v>327.39999999999998</v>
      </c>
      <c r="F52" t="s">
        <v>12</v>
      </c>
      <c r="G52" s="4">
        <f t="shared" si="0"/>
        <v>2.2907758094074526</v>
      </c>
      <c r="H52">
        <v>2.15</v>
      </c>
      <c r="I52">
        <v>2.2400000000000002</v>
      </c>
      <c r="J52" s="6">
        <f t="shared" si="1"/>
        <v>2.2907758094074526</v>
      </c>
      <c r="K52" s="7">
        <f t="shared" si="2"/>
        <v>3.7092241905925474</v>
      </c>
      <c r="L52" t="s">
        <v>13</v>
      </c>
      <c r="M52">
        <v>40</v>
      </c>
    </row>
    <row r="53" spans="1:13" ht="13" customHeight="1" x14ac:dyDescent="0.15">
      <c r="A53">
        <v>51</v>
      </c>
      <c r="B53" t="s">
        <v>114</v>
      </c>
      <c r="C53" t="s">
        <v>10</v>
      </c>
      <c r="D53" t="s">
        <v>115</v>
      </c>
      <c r="E53">
        <v>423.4</v>
      </c>
      <c r="F53" t="s">
        <v>12</v>
      </c>
      <c r="G53" s="4">
        <f t="shared" si="0"/>
        <v>1.7713745866792632</v>
      </c>
      <c r="H53">
        <v>2.15</v>
      </c>
      <c r="I53">
        <v>2.2200000000000002</v>
      </c>
      <c r="J53" s="6">
        <f t="shared" si="1"/>
        <v>1.7713745866792632</v>
      </c>
      <c r="K53" s="7">
        <f t="shared" si="2"/>
        <v>4.2286254133207368</v>
      </c>
      <c r="L53" t="s">
        <v>13</v>
      </c>
      <c r="M53">
        <v>40</v>
      </c>
    </row>
    <row r="54" spans="1:13" ht="13" customHeight="1" x14ac:dyDescent="0.15">
      <c r="A54">
        <v>52</v>
      </c>
      <c r="B54" t="s">
        <v>116</v>
      </c>
      <c r="C54" t="s">
        <v>10</v>
      </c>
      <c r="D54" t="s">
        <v>117</v>
      </c>
      <c r="E54">
        <v>368.2</v>
      </c>
      <c r="F54" t="s">
        <v>12</v>
      </c>
      <c r="G54" s="4">
        <f t="shared" si="0"/>
        <v>2.0369364475828355</v>
      </c>
      <c r="H54">
        <v>2.15</v>
      </c>
      <c r="I54">
        <v>2.09</v>
      </c>
      <c r="J54" s="6">
        <f t="shared" si="1"/>
        <v>2.0369364475828355</v>
      </c>
      <c r="K54" s="7">
        <f t="shared" si="2"/>
        <v>3.9630635524171645</v>
      </c>
      <c r="L54" t="s">
        <v>13</v>
      </c>
      <c r="M54">
        <v>40</v>
      </c>
    </row>
    <row r="55" spans="1:13" ht="13" customHeight="1" x14ac:dyDescent="0.15">
      <c r="A55">
        <v>53</v>
      </c>
      <c r="B55" t="s">
        <v>118</v>
      </c>
      <c r="C55" t="s">
        <v>10</v>
      </c>
      <c r="D55" t="s">
        <v>119</v>
      </c>
      <c r="E55">
        <v>296.39999999999998</v>
      </c>
      <c r="F55" t="s">
        <v>12</v>
      </c>
      <c r="G55" s="4">
        <f t="shared" si="0"/>
        <v>2.5303643724696356</v>
      </c>
      <c r="H55">
        <v>2.15</v>
      </c>
      <c r="I55">
        <v>2.33</v>
      </c>
      <c r="J55" s="6">
        <f t="shared" si="1"/>
        <v>2.5303643724696356</v>
      </c>
      <c r="K55" s="7">
        <f t="shared" si="2"/>
        <v>3.4696356275303644</v>
      </c>
      <c r="L55" t="s">
        <v>13</v>
      </c>
      <c r="M55">
        <v>40</v>
      </c>
    </row>
    <row r="56" spans="1:13" ht="13" customHeight="1" x14ac:dyDescent="0.15">
      <c r="A56">
        <v>54</v>
      </c>
      <c r="B56" t="s">
        <v>120</v>
      </c>
      <c r="C56" t="s">
        <v>10</v>
      </c>
      <c r="D56" t="s">
        <v>121</v>
      </c>
      <c r="E56">
        <v>99.9</v>
      </c>
      <c r="F56" t="s">
        <v>12</v>
      </c>
      <c r="G56" s="4">
        <f t="shared" si="0"/>
        <v>7.5075075075075075</v>
      </c>
      <c r="H56">
        <v>2.16</v>
      </c>
      <c r="I56">
        <v>1.71</v>
      </c>
      <c r="J56" s="6">
        <f t="shared" si="1"/>
        <v>6</v>
      </c>
      <c r="K56" s="7">
        <f t="shared" si="2"/>
        <v>0</v>
      </c>
      <c r="L56" t="s">
        <v>13</v>
      </c>
      <c r="M56">
        <v>40</v>
      </c>
    </row>
    <row r="57" spans="1:13" ht="13" customHeight="1" x14ac:dyDescent="0.15">
      <c r="A57">
        <v>55</v>
      </c>
      <c r="B57" t="s">
        <v>122</v>
      </c>
      <c r="C57" t="s">
        <v>10</v>
      </c>
      <c r="D57" t="s">
        <v>123</v>
      </c>
      <c r="E57">
        <v>474</v>
      </c>
      <c r="F57" t="s">
        <v>12</v>
      </c>
      <c r="G57" s="4">
        <f t="shared" si="0"/>
        <v>1.5822784810126582</v>
      </c>
      <c r="H57">
        <v>2.14</v>
      </c>
      <c r="I57">
        <v>2.2799999999999998</v>
      </c>
      <c r="J57" s="6">
        <f t="shared" si="1"/>
        <v>1.5822784810126582</v>
      </c>
      <c r="K57" s="7">
        <f t="shared" si="2"/>
        <v>4.4177215189873422</v>
      </c>
      <c r="L57" t="s">
        <v>13</v>
      </c>
      <c r="M57">
        <v>40</v>
      </c>
    </row>
    <row r="58" spans="1:13" ht="13" customHeight="1" x14ac:dyDescent="0.15">
      <c r="A58">
        <v>56</v>
      </c>
      <c r="B58" t="s">
        <v>124</v>
      </c>
      <c r="C58" t="s">
        <v>10</v>
      </c>
      <c r="D58" t="s">
        <v>125</v>
      </c>
      <c r="E58">
        <v>470.5</v>
      </c>
      <c r="F58" t="s">
        <v>12</v>
      </c>
      <c r="G58" s="4">
        <f t="shared" si="0"/>
        <v>1.5940488841657812</v>
      </c>
      <c r="H58">
        <v>2.15</v>
      </c>
      <c r="I58">
        <v>2.02</v>
      </c>
      <c r="J58" s="6">
        <f t="shared" si="1"/>
        <v>1.5940488841657812</v>
      </c>
      <c r="K58" s="7">
        <f t="shared" si="2"/>
        <v>4.4059511158342186</v>
      </c>
      <c r="L58" t="s">
        <v>13</v>
      </c>
      <c r="M58">
        <v>40</v>
      </c>
    </row>
    <row r="59" spans="1:13" ht="13" customHeight="1" x14ac:dyDescent="0.15">
      <c r="A59">
        <v>57</v>
      </c>
      <c r="B59" t="s">
        <v>126</v>
      </c>
      <c r="C59" t="s">
        <v>10</v>
      </c>
      <c r="D59" t="s">
        <v>127</v>
      </c>
      <c r="E59">
        <v>328.1</v>
      </c>
      <c r="F59" t="s">
        <v>12</v>
      </c>
      <c r="G59" s="4">
        <f t="shared" si="0"/>
        <v>2.2858884486437061</v>
      </c>
      <c r="H59">
        <v>2.15</v>
      </c>
      <c r="I59">
        <v>2.02</v>
      </c>
      <c r="J59" s="6">
        <f t="shared" si="1"/>
        <v>2.2858884486437061</v>
      </c>
      <c r="K59" s="7">
        <f t="shared" si="2"/>
        <v>3.7141115513562939</v>
      </c>
      <c r="L59" t="s">
        <v>13</v>
      </c>
      <c r="M59">
        <v>40</v>
      </c>
    </row>
    <row r="60" spans="1:13" ht="13" customHeight="1" x14ac:dyDescent="0.15">
      <c r="A60">
        <v>58</v>
      </c>
      <c r="B60" t="s">
        <v>128</v>
      </c>
      <c r="C60" t="s">
        <v>10</v>
      </c>
      <c r="D60" t="s">
        <v>129</v>
      </c>
      <c r="E60">
        <v>247</v>
      </c>
      <c r="F60" t="s">
        <v>12</v>
      </c>
      <c r="G60" s="4">
        <f t="shared" si="0"/>
        <v>3.0364372469635628</v>
      </c>
      <c r="H60">
        <v>2.16</v>
      </c>
      <c r="I60">
        <v>2.33</v>
      </c>
      <c r="J60" s="6">
        <f t="shared" si="1"/>
        <v>3.0364372469635628</v>
      </c>
      <c r="K60" s="7">
        <f t="shared" si="2"/>
        <v>2.9635627530364372</v>
      </c>
      <c r="L60" t="s">
        <v>13</v>
      </c>
      <c r="M60">
        <v>40</v>
      </c>
    </row>
    <row r="61" spans="1:13" ht="13" customHeight="1" x14ac:dyDescent="0.15">
      <c r="A61">
        <v>59</v>
      </c>
      <c r="B61" t="s">
        <v>130</v>
      </c>
      <c r="C61" t="s">
        <v>10</v>
      </c>
      <c r="D61" t="s">
        <v>131</v>
      </c>
      <c r="E61">
        <v>313.3</v>
      </c>
      <c r="F61" t="s">
        <v>12</v>
      </c>
      <c r="G61" s="4">
        <f t="shared" si="0"/>
        <v>2.3938716884774975</v>
      </c>
      <c r="H61">
        <v>2.16</v>
      </c>
      <c r="I61">
        <v>1.07</v>
      </c>
      <c r="J61" s="6">
        <f t="shared" si="1"/>
        <v>2.3938716884774975</v>
      </c>
      <c r="K61" s="7">
        <f t="shared" si="2"/>
        <v>3.6061283115225025</v>
      </c>
      <c r="L61" t="s">
        <v>13</v>
      </c>
      <c r="M61">
        <v>40</v>
      </c>
    </row>
    <row r="62" spans="1:13" ht="13" customHeight="1" x14ac:dyDescent="0.15">
      <c r="A62">
        <v>60</v>
      </c>
      <c r="B62" t="s">
        <v>132</v>
      </c>
      <c r="C62" t="s">
        <v>10</v>
      </c>
      <c r="D62" t="s">
        <v>133</v>
      </c>
      <c r="E62">
        <v>308.2</v>
      </c>
      <c r="F62" t="s">
        <v>12</v>
      </c>
      <c r="G62" s="4">
        <f t="shared" si="0"/>
        <v>2.4334847501622323</v>
      </c>
      <c r="H62">
        <v>2.14</v>
      </c>
      <c r="I62">
        <v>1.9</v>
      </c>
      <c r="J62" s="6">
        <f t="shared" si="1"/>
        <v>2.4334847501622323</v>
      </c>
      <c r="K62" s="7">
        <f t="shared" si="2"/>
        <v>3.5665152498377677</v>
      </c>
      <c r="L62" t="s">
        <v>13</v>
      </c>
      <c r="M62">
        <v>40</v>
      </c>
    </row>
    <row r="63" spans="1:13" ht="13" customHeight="1" x14ac:dyDescent="0.15">
      <c r="A63">
        <v>61</v>
      </c>
      <c r="B63" t="s">
        <v>134</v>
      </c>
      <c r="C63" t="s">
        <v>10</v>
      </c>
      <c r="D63" t="s">
        <v>135</v>
      </c>
      <c r="E63">
        <v>430.4</v>
      </c>
      <c r="F63" t="s">
        <v>12</v>
      </c>
      <c r="G63" s="4">
        <f t="shared" si="0"/>
        <v>1.742565055762082</v>
      </c>
      <c r="H63">
        <v>2.14</v>
      </c>
      <c r="I63">
        <v>1.9</v>
      </c>
      <c r="J63" s="6">
        <f t="shared" si="1"/>
        <v>1.742565055762082</v>
      </c>
      <c r="K63" s="7">
        <f t="shared" si="2"/>
        <v>4.257434944237918</v>
      </c>
      <c r="L63" t="s">
        <v>13</v>
      </c>
      <c r="M63">
        <v>40</v>
      </c>
    </row>
    <row r="64" spans="1:13" ht="13" customHeight="1" x14ac:dyDescent="0.15">
      <c r="A64">
        <v>62</v>
      </c>
      <c r="B64" t="s">
        <v>136</v>
      </c>
      <c r="C64" t="s">
        <v>10</v>
      </c>
      <c r="D64" t="s">
        <v>137</v>
      </c>
      <c r="E64">
        <v>291.7</v>
      </c>
      <c r="F64" t="s">
        <v>12</v>
      </c>
      <c r="G64" s="4">
        <f t="shared" si="0"/>
        <v>2.5711347274597189</v>
      </c>
      <c r="H64">
        <v>2.16</v>
      </c>
      <c r="I64">
        <v>1.81</v>
      </c>
      <c r="J64" s="6">
        <f t="shared" si="1"/>
        <v>2.5711347274597189</v>
      </c>
      <c r="K64" s="7">
        <f t="shared" si="2"/>
        <v>3.4288652725402811</v>
      </c>
      <c r="L64" t="s">
        <v>13</v>
      </c>
      <c r="M64">
        <v>40</v>
      </c>
    </row>
    <row r="65" spans="1:13" ht="13" customHeight="1" x14ac:dyDescent="0.15">
      <c r="A65">
        <v>63</v>
      </c>
      <c r="B65" t="s">
        <v>138</v>
      </c>
      <c r="C65" t="s">
        <v>10</v>
      </c>
      <c r="D65" t="s">
        <v>139</v>
      </c>
      <c r="E65">
        <v>480.7</v>
      </c>
      <c r="F65" t="s">
        <v>12</v>
      </c>
      <c r="G65" s="4">
        <f t="shared" si="0"/>
        <v>1.5602246723528188</v>
      </c>
      <c r="H65">
        <v>2.13</v>
      </c>
      <c r="I65">
        <v>2.21</v>
      </c>
      <c r="J65" s="6">
        <f t="shared" si="1"/>
        <v>1.5602246723528188</v>
      </c>
      <c r="K65" s="7">
        <f t="shared" si="2"/>
        <v>4.4397753276471814</v>
      </c>
      <c r="L65" t="s">
        <v>13</v>
      </c>
      <c r="M65">
        <v>40</v>
      </c>
    </row>
    <row r="66" spans="1:13" ht="13" customHeight="1" x14ac:dyDescent="0.15">
      <c r="A66">
        <v>64</v>
      </c>
      <c r="B66" t="s">
        <v>140</v>
      </c>
      <c r="C66" t="s">
        <v>10</v>
      </c>
      <c r="D66" t="s">
        <v>141</v>
      </c>
      <c r="E66">
        <v>332.3</v>
      </c>
      <c r="F66" t="s">
        <v>12</v>
      </c>
      <c r="G66" s="4">
        <f t="shared" si="0"/>
        <v>2.2569966897381883</v>
      </c>
      <c r="H66">
        <v>2.16</v>
      </c>
      <c r="I66">
        <v>2.0699999999999998</v>
      </c>
      <c r="J66" s="6">
        <f t="shared" si="1"/>
        <v>2.2569966897381883</v>
      </c>
      <c r="K66" s="7">
        <f t="shared" si="2"/>
        <v>3.7430033102618117</v>
      </c>
      <c r="L66" t="s">
        <v>13</v>
      </c>
      <c r="M66">
        <v>40</v>
      </c>
    </row>
    <row r="67" spans="1:13" ht="13" customHeight="1" x14ac:dyDescent="0.15">
      <c r="A67">
        <v>65</v>
      </c>
      <c r="B67" t="s">
        <v>142</v>
      </c>
      <c r="C67" t="s">
        <v>10</v>
      </c>
      <c r="D67" t="s">
        <v>143</v>
      </c>
      <c r="E67">
        <v>277.2</v>
      </c>
      <c r="F67" t="s">
        <v>12</v>
      </c>
      <c r="G67" s="4">
        <f t="shared" ref="G67:G113" si="3">750/E67</f>
        <v>2.7056277056277058</v>
      </c>
      <c r="H67">
        <v>2.1800000000000002</v>
      </c>
      <c r="I67">
        <v>2.16</v>
      </c>
      <c r="J67" s="6">
        <f t="shared" ref="J67:J113" si="4">IF(G67&gt;=6, 6, G67)</f>
        <v>2.7056277056277058</v>
      </c>
      <c r="K67" s="7">
        <f t="shared" ref="K67:K113" si="5">6-J67</f>
        <v>3.2943722943722942</v>
      </c>
      <c r="L67" t="s">
        <v>13</v>
      </c>
      <c r="M67">
        <v>40</v>
      </c>
    </row>
    <row r="68" spans="1:13" ht="13" customHeight="1" x14ac:dyDescent="0.15">
      <c r="A68">
        <v>66</v>
      </c>
      <c r="B68" t="s">
        <v>144</v>
      </c>
      <c r="C68" t="s">
        <v>10</v>
      </c>
      <c r="D68" t="s">
        <v>145</v>
      </c>
      <c r="E68">
        <v>95.6</v>
      </c>
      <c r="F68" t="s">
        <v>12</v>
      </c>
      <c r="G68" s="4">
        <f t="shared" si="3"/>
        <v>7.8451882845188292</v>
      </c>
      <c r="H68">
        <v>2.2200000000000002</v>
      </c>
      <c r="I68">
        <v>1.38</v>
      </c>
      <c r="J68" s="6">
        <f t="shared" si="4"/>
        <v>6</v>
      </c>
      <c r="K68" s="7">
        <f t="shared" si="5"/>
        <v>0</v>
      </c>
      <c r="L68" t="s">
        <v>13</v>
      </c>
      <c r="M68">
        <v>40</v>
      </c>
    </row>
    <row r="69" spans="1:13" ht="13" customHeight="1" x14ac:dyDescent="0.15">
      <c r="A69">
        <v>67</v>
      </c>
      <c r="B69" t="s">
        <v>146</v>
      </c>
      <c r="C69" t="s">
        <v>10</v>
      </c>
      <c r="D69" t="s">
        <v>147</v>
      </c>
      <c r="E69">
        <v>307.8</v>
      </c>
      <c r="F69" t="s">
        <v>12</v>
      </c>
      <c r="G69" s="4">
        <f t="shared" si="3"/>
        <v>2.4366471734892787</v>
      </c>
      <c r="H69">
        <v>2.17</v>
      </c>
      <c r="I69">
        <v>2.31</v>
      </c>
      <c r="J69" s="6">
        <f t="shared" si="4"/>
        <v>2.4366471734892787</v>
      </c>
      <c r="K69" s="7">
        <f t="shared" si="5"/>
        <v>3.5633528265107213</v>
      </c>
      <c r="L69" t="s">
        <v>13</v>
      </c>
      <c r="M69">
        <v>40</v>
      </c>
    </row>
    <row r="70" spans="1:13" ht="13" customHeight="1" x14ac:dyDescent="0.15">
      <c r="A70">
        <v>68</v>
      </c>
      <c r="B70" t="s">
        <v>148</v>
      </c>
      <c r="C70" t="s">
        <v>10</v>
      </c>
      <c r="D70" t="s">
        <v>149</v>
      </c>
      <c r="E70">
        <v>315.5</v>
      </c>
      <c r="F70" t="s">
        <v>12</v>
      </c>
      <c r="G70" s="4">
        <f t="shared" si="3"/>
        <v>2.3771790808240887</v>
      </c>
      <c r="H70">
        <v>2.17</v>
      </c>
      <c r="I70">
        <v>1.83</v>
      </c>
      <c r="J70" s="6">
        <f t="shared" si="4"/>
        <v>2.3771790808240887</v>
      </c>
      <c r="K70" s="7">
        <f t="shared" si="5"/>
        <v>3.6228209191759113</v>
      </c>
      <c r="L70" t="s">
        <v>13</v>
      </c>
      <c r="M70">
        <v>40</v>
      </c>
    </row>
    <row r="71" spans="1:13" ht="13" customHeight="1" x14ac:dyDescent="0.15">
      <c r="A71">
        <v>69</v>
      </c>
      <c r="B71" t="s">
        <v>150</v>
      </c>
      <c r="C71" t="s">
        <v>10</v>
      </c>
      <c r="D71" t="s">
        <v>151</v>
      </c>
      <c r="E71">
        <v>169.3</v>
      </c>
      <c r="F71" t="s">
        <v>12</v>
      </c>
      <c r="G71" s="4">
        <f t="shared" si="3"/>
        <v>4.4300059066745421</v>
      </c>
      <c r="H71">
        <v>2.17</v>
      </c>
      <c r="I71">
        <v>2.27</v>
      </c>
      <c r="J71" s="6">
        <f t="shared" si="4"/>
        <v>4.4300059066745421</v>
      </c>
      <c r="K71" s="7">
        <f t="shared" si="5"/>
        <v>1.5699940933254579</v>
      </c>
      <c r="L71" t="s">
        <v>13</v>
      </c>
      <c r="M71">
        <v>40</v>
      </c>
    </row>
    <row r="72" spans="1:13" ht="13" customHeight="1" x14ac:dyDescent="0.15">
      <c r="A72">
        <v>70</v>
      </c>
      <c r="B72" t="s">
        <v>152</v>
      </c>
      <c r="C72" t="s">
        <v>10</v>
      </c>
      <c r="D72" t="s">
        <v>153</v>
      </c>
      <c r="E72">
        <v>207.3</v>
      </c>
      <c r="F72" t="s">
        <v>12</v>
      </c>
      <c r="G72" s="4">
        <f t="shared" si="3"/>
        <v>3.6179450072358899</v>
      </c>
      <c r="H72">
        <v>2.16</v>
      </c>
      <c r="I72">
        <v>1.63</v>
      </c>
      <c r="J72" s="6">
        <f t="shared" si="4"/>
        <v>3.6179450072358899</v>
      </c>
      <c r="K72" s="7">
        <f t="shared" si="5"/>
        <v>2.3820549927641101</v>
      </c>
      <c r="L72" t="s">
        <v>13</v>
      </c>
      <c r="M72">
        <v>40</v>
      </c>
    </row>
    <row r="73" spans="1:13" ht="13" customHeight="1" x14ac:dyDescent="0.15">
      <c r="A73">
        <v>71</v>
      </c>
      <c r="B73" t="s">
        <v>154</v>
      </c>
      <c r="C73" t="s">
        <v>10</v>
      </c>
      <c r="D73" t="s">
        <v>155</v>
      </c>
      <c r="E73">
        <v>299.89999999999998</v>
      </c>
      <c r="F73" t="s">
        <v>12</v>
      </c>
      <c r="G73" s="4">
        <f t="shared" si="3"/>
        <v>2.5008336112037348</v>
      </c>
      <c r="H73">
        <v>2.17</v>
      </c>
      <c r="I73">
        <v>1.73</v>
      </c>
      <c r="J73" s="6">
        <f t="shared" si="4"/>
        <v>2.5008336112037348</v>
      </c>
      <c r="K73" s="7">
        <f t="shared" si="5"/>
        <v>3.4991663887962652</v>
      </c>
      <c r="L73" t="s">
        <v>13</v>
      </c>
      <c r="M73">
        <v>40</v>
      </c>
    </row>
    <row r="74" spans="1:13" ht="13" customHeight="1" x14ac:dyDescent="0.15">
      <c r="A74">
        <v>72</v>
      </c>
      <c r="B74" t="s">
        <v>156</v>
      </c>
      <c r="C74" t="s">
        <v>10</v>
      </c>
      <c r="D74" t="s">
        <v>157</v>
      </c>
      <c r="E74">
        <v>362.4</v>
      </c>
      <c r="F74" t="s">
        <v>12</v>
      </c>
      <c r="G74" s="4">
        <f t="shared" si="3"/>
        <v>2.0695364238410598</v>
      </c>
      <c r="H74">
        <v>2.17</v>
      </c>
      <c r="I74">
        <v>2.29</v>
      </c>
      <c r="J74" s="6">
        <f t="shared" si="4"/>
        <v>2.0695364238410598</v>
      </c>
      <c r="K74" s="7">
        <f t="shared" si="5"/>
        <v>3.9304635761589402</v>
      </c>
      <c r="L74" t="s">
        <v>13</v>
      </c>
      <c r="M74">
        <v>40</v>
      </c>
    </row>
    <row r="75" spans="1:13" ht="13" customHeight="1" x14ac:dyDescent="0.15">
      <c r="A75">
        <v>73</v>
      </c>
      <c r="B75" t="s">
        <v>158</v>
      </c>
      <c r="C75" t="s">
        <v>10</v>
      </c>
      <c r="D75" t="s">
        <v>159</v>
      </c>
      <c r="E75">
        <v>246.7</v>
      </c>
      <c r="F75" t="s">
        <v>12</v>
      </c>
      <c r="G75" s="4">
        <f t="shared" si="3"/>
        <v>3.040129712201054</v>
      </c>
      <c r="H75">
        <v>2.15</v>
      </c>
      <c r="I75">
        <v>2.23</v>
      </c>
      <c r="J75" s="6">
        <f t="shared" si="4"/>
        <v>3.040129712201054</v>
      </c>
      <c r="K75" s="7">
        <f t="shared" si="5"/>
        <v>2.959870287798946</v>
      </c>
      <c r="L75" t="s">
        <v>13</v>
      </c>
      <c r="M75">
        <v>40</v>
      </c>
    </row>
    <row r="76" spans="1:13" ht="13" customHeight="1" x14ac:dyDescent="0.15">
      <c r="A76">
        <v>74</v>
      </c>
      <c r="B76" t="s">
        <v>160</v>
      </c>
      <c r="C76" t="s">
        <v>10</v>
      </c>
      <c r="D76" t="s">
        <v>161</v>
      </c>
      <c r="E76">
        <v>268</v>
      </c>
      <c r="F76" t="s">
        <v>12</v>
      </c>
      <c r="G76" s="4">
        <f t="shared" si="3"/>
        <v>2.7985074626865671</v>
      </c>
      <c r="H76">
        <v>2.16</v>
      </c>
      <c r="I76">
        <v>2.27</v>
      </c>
      <c r="J76" s="6">
        <f t="shared" si="4"/>
        <v>2.7985074626865671</v>
      </c>
      <c r="K76" s="7">
        <f t="shared" si="5"/>
        <v>3.2014925373134329</v>
      </c>
      <c r="L76" t="s">
        <v>13</v>
      </c>
      <c r="M76">
        <v>40</v>
      </c>
    </row>
    <row r="77" spans="1:13" ht="13" customHeight="1" x14ac:dyDescent="0.15">
      <c r="A77">
        <v>75</v>
      </c>
      <c r="B77" t="s">
        <v>162</v>
      </c>
      <c r="C77" t="s">
        <v>10</v>
      </c>
      <c r="D77" t="s">
        <v>163</v>
      </c>
      <c r="E77">
        <v>83.2</v>
      </c>
      <c r="F77" t="s">
        <v>12</v>
      </c>
      <c r="G77" s="4">
        <f t="shared" si="3"/>
        <v>9.0144230769230766</v>
      </c>
      <c r="H77">
        <v>2.17</v>
      </c>
      <c r="I77">
        <v>1.1299999999999999</v>
      </c>
      <c r="J77" s="6">
        <f t="shared" si="4"/>
        <v>6</v>
      </c>
      <c r="K77" s="7">
        <f t="shared" si="5"/>
        <v>0</v>
      </c>
      <c r="L77" t="s">
        <v>13</v>
      </c>
      <c r="M77">
        <v>40</v>
      </c>
    </row>
    <row r="78" spans="1:13" ht="13" customHeight="1" x14ac:dyDescent="0.15">
      <c r="A78">
        <v>76</v>
      </c>
      <c r="B78" t="s">
        <v>164</v>
      </c>
      <c r="C78" t="s">
        <v>10</v>
      </c>
      <c r="D78" t="s">
        <v>165</v>
      </c>
      <c r="E78">
        <v>241</v>
      </c>
      <c r="F78" t="s">
        <v>12</v>
      </c>
      <c r="G78" s="4">
        <f t="shared" si="3"/>
        <v>3.1120331950207469</v>
      </c>
      <c r="H78">
        <v>2.17</v>
      </c>
      <c r="I78">
        <v>2.04</v>
      </c>
      <c r="J78" s="6">
        <f t="shared" si="4"/>
        <v>3.1120331950207469</v>
      </c>
      <c r="K78" s="7">
        <f t="shared" si="5"/>
        <v>2.8879668049792531</v>
      </c>
      <c r="L78" t="s">
        <v>13</v>
      </c>
      <c r="M78">
        <v>40</v>
      </c>
    </row>
    <row r="79" spans="1:13" ht="13" customHeight="1" x14ac:dyDescent="0.15">
      <c r="A79">
        <v>77</v>
      </c>
      <c r="B79" t="s">
        <v>166</v>
      </c>
      <c r="C79" t="s">
        <v>10</v>
      </c>
      <c r="D79" t="s">
        <v>167</v>
      </c>
      <c r="E79">
        <v>199.7</v>
      </c>
      <c r="F79" t="s">
        <v>12</v>
      </c>
      <c r="G79" s="4">
        <f t="shared" si="3"/>
        <v>3.7556334501752633</v>
      </c>
      <c r="H79">
        <v>2.15</v>
      </c>
      <c r="I79">
        <v>2.0499999999999998</v>
      </c>
      <c r="J79" s="6">
        <f t="shared" si="4"/>
        <v>3.7556334501752633</v>
      </c>
      <c r="K79" s="7">
        <f t="shared" si="5"/>
        <v>2.2443665498247367</v>
      </c>
      <c r="L79" t="s">
        <v>13</v>
      </c>
      <c r="M79">
        <v>40</v>
      </c>
    </row>
    <row r="80" spans="1:13" ht="13" customHeight="1" x14ac:dyDescent="0.15">
      <c r="A80">
        <v>78</v>
      </c>
      <c r="B80" t="s">
        <v>168</v>
      </c>
      <c r="C80" t="s">
        <v>10</v>
      </c>
      <c r="D80" t="s">
        <v>169</v>
      </c>
      <c r="E80">
        <v>204</v>
      </c>
      <c r="F80" t="s">
        <v>12</v>
      </c>
      <c r="G80" s="4">
        <f t="shared" si="3"/>
        <v>3.6764705882352939</v>
      </c>
      <c r="H80">
        <v>2.17</v>
      </c>
      <c r="I80">
        <v>2.1</v>
      </c>
      <c r="J80" s="6">
        <f t="shared" si="4"/>
        <v>3.6764705882352939</v>
      </c>
      <c r="K80" s="7">
        <f t="shared" si="5"/>
        <v>2.3235294117647061</v>
      </c>
      <c r="L80" t="s">
        <v>13</v>
      </c>
      <c r="M80">
        <v>40</v>
      </c>
    </row>
    <row r="81" spans="1:13" ht="13" customHeight="1" x14ac:dyDescent="0.15">
      <c r="A81">
        <v>79</v>
      </c>
      <c r="B81" t="s">
        <v>170</v>
      </c>
      <c r="C81" t="s">
        <v>10</v>
      </c>
      <c r="D81" t="s">
        <v>171</v>
      </c>
      <c r="E81">
        <v>220.9</v>
      </c>
      <c r="F81" t="s">
        <v>12</v>
      </c>
      <c r="G81" s="4">
        <f t="shared" si="3"/>
        <v>3.3952014486192845</v>
      </c>
      <c r="H81">
        <v>2.16</v>
      </c>
      <c r="I81">
        <v>2.19</v>
      </c>
      <c r="J81" s="6">
        <f t="shared" si="4"/>
        <v>3.3952014486192845</v>
      </c>
      <c r="K81" s="7">
        <f t="shared" si="5"/>
        <v>2.6047985513807155</v>
      </c>
      <c r="L81" t="s">
        <v>13</v>
      </c>
      <c r="M81">
        <v>40</v>
      </c>
    </row>
    <row r="82" spans="1:13" ht="13" customHeight="1" x14ac:dyDescent="0.15">
      <c r="A82">
        <v>80</v>
      </c>
      <c r="B82" t="s">
        <v>172</v>
      </c>
      <c r="C82" t="s">
        <v>10</v>
      </c>
      <c r="D82" t="s">
        <v>173</v>
      </c>
      <c r="E82">
        <v>241.8</v>
      </c>
      <c r="F82" t="s">
        <v>12</v>
      </c>
      <c r="G82" s="4">
        <f t="shared" si="3"/>
        <v>3.1017369727047144</v>
      </c>
      <c r="H82">
        <v>2.17</v>
      </c>
      <c r="I82">
        <v>2.33</v>
      </c>
      <c r="J82" s="6">
        <f t="shared" si="4"/>
        <v>3.1017369727047144</v>
      </c>
      <c r="K82" s="7">
        <f t="shared" si="5"/>
        <v>2.8982630272952856</v>
      </c>
      <c r="L82" t="s">
        <v>13</v>
      </c>
      <c r="M82">
        <v>40</v>
      </c>
    </row>
    <row r="83" spans="1:13" ht="13" customHeight="1" x14ac:dyDescent="0.15">
      <c r="A83">
        <v>81</v>
      </c>
      <c r="B83" t="s">
        <v>174</v>
      </c>
      <c r="C83" t="s">
        <v>10</v>
      </c>
      <c r="D83" t="s">
        <v>175</v>
      </c>
      <c r="E83">
        <v>190.9</v>
      </c>
      <c r="F83" t="s">
        <v>12</v>
      </c>
      <c r="G83" s="4">
        <f t="shared" si="3"/>
        <v>3.9287585123101101</v>
      </c>
      <c r="H83">
        <v>2.15</v>
      </c>
      <c r="I83">
        <v>2.27</v>
      </c>
      <c r="J83" s="6">
        <f t="shared" si="4"/>
        <v>3.9287585123101101</v>
      </c>
      <c r="K83" s="7">
        <f t="shared" si="5"/>
        <v>2.0712414876898899</v>
      </c>
      <c r="L83" t="s">
        <v>13</v>
      </c>
      <c r="M83">
        <v>40</v>
      </c>
    </row>
    <row r="84" spans="1:13" ht="13" customHeight="1" x14ac:dyDescent="0.15">
      <c r="A84">
        <v>82</v>
      </c>
      <c r="B84" t="s">
        <v>176</v>
      </c>
      <c r="C84" t="s">
        <v>10</v>
      </c>
      <c r="D84" t="s">
        <v>177</v>
      </c>
      <c r="E84">
        <v>228</v>
      </c>
      <c r="F84" t="s">
        <v>12</v>
      </c>
      <c r="G84" s="4">
        <f t="shared" si="3"/>
        <v>3.2894736842105261</v>
      </c>
      <c r="H84">
        <v>2.15</v>
      </c>
      <c r="I84">
        <v>2.31</v>
      </c>
      <c r="J84" s="6">
        <f t="shared" si="4"/>
        <v>3.2894736842105261</v>
      </c>
      <c r="K84" s="7">
        <f t="shared" si="5"/>
        <v>2.7105263157894739</v>
      </c>
      <c r="L84" t="s">
        <v>13</v>
      </c>
      <c r="M84">
        <v>40</v>
      </c>
    </row>
    <row r="85" spans="1:13" ht="13" customHeight="1" x14ac:dyDescent="0.15">
      <c r="A85">
        <v>83</v>
      </c>
      <c r="B85" t="s">
        <v>178</v>
      </c>
      <c r="C85" t="s">
        <v>10</v>
      </c>
      <c r="D85" t="s">
        <v>179</v>
      </c>
      <c r="E85">
        <v>75.3</v>
      </c>
      <c r="F85" t="s">
        <v>12</v>
      </c>
      <c r="G85" s="4">
        <f t="shared" si="3"/>
        <v>9.9601593625498008</v>
      </c>
      <c r="H85">
        <v>2.15</v>
      </c>
      <c r="I85">
        <v>2.33</v>
      </c>
      <c r="J85" s="6">
        <f t="shared" si="4"/>
        <v>6</v>
      </c>
      <c r="K85" s="7">
        <f t="shared" si="5"/>
        <v>0</v>
      </c>
      <c r="L85" t="s">
        <v>13</v>
      </c>
      <c r="M85">
        <v>40</v>
      </c>
    </row>
    <row r="86" spans="1:13" ht="13" customHeight="1" x14ac:dyDescent="0.15">
      <c r="A86">
        <v>84</v>
      </c>
      <c r="B86" t="s">
        <v>180</v>
      </c>
      <c r="C86" t="s">
        <v>10</v>
      </c>
      <c r="D86" t="s">
        <v>181</v>
      </c>
      <c r="E86">
        <v>131.80000000000001</v>
      </c>
      <c r="F86" t="s">
        <v>12</v>
      </c>
      <c r="G86" s="4">
        <f t="shared" si="3"/>
        <v>5.6904400606980268</v>
      </c>
      <c r="H86">
        <v>2.14</v>
      </c>
      <c r="I86">
        <v>2.09</v>
      </c>
      <c r="J86" s="6">
        <f t="shared" si="4"/>
        <v>5.6904400606980268</v>
      </c>
      <c r="K86" s="7">
        <f t="shared" si="5"/>
        <v>0.30955993930197323</v>
      </c>
      <c r="L86" t="s">
        <v>13</v>
      </c>
      <c r="M86">
        <v>40</v>
      </c>
    </row>
    <row r="87" spans="1:13" ht="13" customHeight="1" x14ac:dyDescent="0.15">
      <c r="A87">
        <v>85</v>
      </c>
      <c r="B87" t="s">
        <v>182</v>
      </c>
      <c r="C87" t="s">
        <v>10</v>
      </c>
      <c r="D87" t="s">
        <v>183</v>
      </c>
      <c r="E87">
        <v>260</v>
      </c>
      <c r="F87" t="s">
        <v>12</v>
      </c>
      <c r="G87" s="4">
        <f t="shared" si="3"/>
        <v>2.8846153846153846</v>
      </c>
      <c r="H87">
        <v>2.13</v>
      </c>
      <c r="I87">
        <v>2.0499999999999998</v>
      </c>
      <c r="J87" s="6">
        <f t="shared" si="4"/>
        <v>2.8846153846153846</v>
      </c>
      <c r="K87" s="7">
        <f t="shared" si="5"/>
        <v>3.1153846153846154</v>
      </c>
      <c r="L87" t="s">
        <v>13</v>
      </c>
      <c r="M87">
        <v>40</v>
      </c>
    </row>
    <row r="88" spans="1:13" ht="13" customHeight="1" x14ac:dyDescent="0.15">
      <c r="A88">
        <v>86</v>
      </c>
      <c r="B88" t="s">
        <v>184</v>
      </c>
      <c r="C88" t="s">
        <v>10</v>
      </c>
      <c r="D88" t="s">
        <v>185</v>
      </c>
      <c r="E88">
        <v>367.1</v>
      </c>
      <c r="F88" t="s">
        <v>12</v>
      </c>
      <c r="G88" s="4">
        <f t="shared" si="3"/>
        <v>2.0430400435848539</v>
      </c>
      <c r="H88">
        <v>2.16</v>
      </c>
      <c r="I88">
        <v>1.24</v>
      </c>
      <c r="J88" s="6">
        <f t="shared" si="4"/>
        <v>2.0430400435848539</v>
      </c>
      <c r="K88" s="7">
        <f t="shared" si="5"/>
        <v>3.9569599564151461</v>
      </c>
      <c r="L88" t="s">
        <v>13</v>
      </c>
      <c r="M88">
        <v>40</v>
      </c>
    </row>
    <row r="89" spans="1:13" ht="13" customHeight="1" x14ac:dyDescent="0.15">
      <c r="A89">
        <v>87</v>
      </c>
      <c r="B89" t="s">
        <v>186</v>
      </c>
      <c r="C89" t="s">
        <v>10</v>
      </c>
      <c r="D89" t="s">
        <v>187</v>
      </c>
      <c r="E89">
        <v>167.2</v>
      </c>
      <c r="F89" t="s">
        <v>12</v>
      </c>
      <c r="G89" s="4">
        <f t="shared" si="3"/>
        <v>4.4856459330143545</v>
      </c>
      <c r="H89">
        <v>2.16</v>
      </c>
      <c r="I89">
        <v>1.2</v>
      </c>
      <c r="J89" s="6">
        <f t="shared" si="4"/>
        <v>4.4856459330143545</v>
      </c>
      <c r="K89" s="7">
        <f t="shared" si="5"/>
        <v>1.5143540669856455</v>
      </c>
      <c r="L89" t="s">
        <v>13</v>
      </c>
      <c r="M89">
        <v>40</v>
      </c>
    </row>
    <row r="90" spans="1:13" ht="13" customHeight="1" x14ac:dyDescent="0.15">
      <c r="A90">
        <v>88</v>
      </c>
      <c r="B90" t="s">
        <v>188</v>
      </c>
      <c r="C90" t="s">
        <v>10</v>
      </c>
      <c r="D90" t="s">
        <v>189</v>
      </c>
      <c r="E90">
        <v>114.5</v>
      </c>
      <c r="F90" t="s">
        <v>12</v>
      </c>
      <c r="G90" s="4">
        <f t="shared" si="3"/>
        <v>6.5502183406113534</v>
      </c>
      <c r="H90">
        <v>2.13</v>
      </c>
      <c r="I90">
        <v>1.53</v>
      </c>
      <c r="J90" s="6">
        <f t="shared" si="4"/>
        <v>6</v>
      </c>
      <c r="K90" s="7">
        <f t="shared" si="5"/>
        <v>0</v>
      </c>
      <c r="L90" t="s">
        <v>13</v>
      </c>
      <c r="M90">
        <v>40</v>
      </c>
    </row>
    <row r="91" spans="1:13" ht="13" customHeight="1" x14ac:dyDescent="0.15">
      <c r="A91">
        <v>89</v>
      </c>
      <c r="B91" t="s">
        <v>190</v>
      </c>
      <c r="C91" t="s">
        <v>10</v>
      </c>
      <c r="D91" t="s">
        <v>191</v>
      </c>
      <c r="E91">
        <v>233.2</v>
      </c>
      <c r="F91" t="s">
        <v>12</v>
      </c>
      <c r="G91" s="4">
        <f t="shared" si="3"/>
        <v>3.2161234991423671</v>
      </c>
      <c r="H91">
        <v>2.14</v>
      </c>
      <c r="I91">
        <v>1.1000000000000001</v>
      </c>
      <c r="J91" s="6">
        <f t="shared" si="4"/>
        <v>3.2161234991423671</v>
      </c>
      <c r="K91" s="7">
        <f t="shared" si="5"/>
        <v>2.7838765008576329</v>
      </c>
      <c r="L91" t="s">
        <v>13</v>
      </c>
      <c r="M91">
        <v>40</v>
      </c>
    </row>
    <row r="92" spans="1:13" ht="13" customHeight="1" x14ac:dyDescent="0.15">
      <c r="A92">
        <v>90</v>
      </c>
      <c r="B92" t="s">
        <v>192</v>
      </c>
      <c r="C92" t="s">
        <v>10</v>
      </c>
      <c r="D92" t="s">
        <v>193</v>
      </c>
      <c r="E92">
        <v>122.1</v>
      </c>
      <c r="F92" t="s">
        <v>12</v>
      </c>
      <c r="G92" s="4">
        <f t="shared" si="3"/>
        <v>6.1425061425061429</v>
      </c>
      <c r="H92">
        <v>2.13</v>
      </c>
      <c r="I92">
        <v>2.2400000000000002</v>
      </c>
      <c r="J92" s="6">
        <f t="shared" si="4"/>
        <v>6</v>
      </c>
      <c r="K92" s="7">
        <f t="shared" si="5"/>
        <v>0</v>
      </c>
      <c r="L92" t="s">
        <v>13</v>
      </c>
      <c r="M92">
        <v>40</v>
      </c>
    </row>
    <row r="93" spans="1:13" ht="13" customHeight="1" x14ac:dyDescent="0.15">
      <c r="A93">
        <v>91</v>
      </c>
      <c r="B93" t="s">
        <v>194</v>
      </c>
      <c r="C93" t="s">
        <v>10</v>
      </c>
      <c r="D93" t="s">
        <v>195</v>
      </c>
      <c r="E93">
        <v>249.4</v>
      </c>
      <c r="F93" t="s">
        <v>12</v>
      </c>
      <c r="G93" s="4">
        <f t="shared" si="3"/>
        <v>3.0072173215717721</v>
      </c>
      <c r="H93">
        <v>2.15</v>
      </c>
      <c r="I93">
        <v>1.99</v>
      </c>
      <c r="J93" s="6">
        <f t="shared" si="4"/>
        <v>3.0072173215717721</v>
      </c>
      <c r="K93" s="7">
        <f t="shared" si="5"/>
        <v>2.9927826784282279</v>
      </c>
      <c r="L93" t="s">
        <v>13</v>
      </c>
      <c r="M93">
        <v>40</v>
      </c>
    </row>
    <row r="94" spans="1:13" ht="13" customHeight="1" x14ac:dyDescent="0.15">
      <c r="A94">
        <v>92</v>
      </c>
      <c r="B94" t="s">
        <v>196</v>
      </c>
      <c r="C94" t="s">
        <v>10</v>
      </c>
      <c r="D94" t="s">
        <v>197</v>
      </c>
      <c r="E94">
        <v>102.2</v>
      </c>
      <c r="F94" t="s">
        <v>12</v>
      </c>
      <c r="G94" s="4">
        <f t="shared" si="3"/>
        <v>7.3385518590998045</v>
      </c>
      <c r="H94">
        <v>2.13</v>
      </c>
      <c r="I94">
        <v>2.04</v>
      </c>
      <c r="J94" s="6">
        <f t="shared" si="4"/>
        <v>6</v>
      </c>
      <c r="K94" s="7">
        <f t="shared" si="5"/>
        <v>0</v>
      </c>
      <c r="L94" t="s">
        <v>13</v>
      </c>
      <c r="M94">
        <v>40</v>
      </c>
    </row>
    <row r="95" spans="1:13" ht="13" customHeight="1" x14ac:dyDescent="0.15">
      <c r="A95">
        <v>93</v>
      </c>
      <c r="B95" t="s">
        <v>198</v>
      </c>
      <c r="C95" t="s">
        <v>10</v>
      </c>
      <c r="D95" t="s">
        <v>199</v>
      </c>
      <c r="E95">
        <v>200.7</v>
      </c>
      <c r="F95" t="s">
        <v>12</v>
      </c>
      <c r="G95" s="4">
        <f t="shared" si="3"/>
        <v>3.7369207772795221</v>
      </c>
      <c r="H95">
        <v>2.15</v>
      </c>
      <c r="I95">
        <v>0.76</v>
      </c>
      <c r="J95" s="6">
        <f t="shared" si="4"/>
        <v>3.7369207772795221</v>
      </c>
      <c r="K95" s="7">
        <f t="shared" si="5"/>
        <v>2.2630792227204779</v>
      </c>
      <c r="L95" t="s">
        <v>13</v>
      </c>
      <c r="M95">
        <v>40</v>
      </c>
    </row>
    <row r="96" spans="1:13" ht="13" customHeight="1" x14ac:dyDescent="0.15">
      <c r="A96">
        <v>94</v>
      </c>
      <c r="B96" t="s">
        <v>200</v>
      </c>
      <c r="C96" t="s">
        <v>10</v>
      </c>
      <c r="D96" t="s">
        <v>201</v>
      </c>
      <c r="E96">
        <v>197.1</v>
      </c>
      <c r="F96" t="s">
        <v>12</v>
      </c>
      <c r="G96" s="4">
        <f t="shared" si="3"/>
        <v>3.8051750380517504</v>
      </c>
      <c r="H96">
        <v>2.15</v>
      </c>
      <c r="I96">
        <v>1.08</v>
      </c>
      <c r="J96" s="6">
        <f t="shared" si="4"/>
        <v>3.8051750380517504</v>
      </c>
      <c r="K96" s="7">
        <f t="shared" si="5"/>
        <v>2.1948249619482496</v>
      </c>
      <c r="L96" t="s">
        <v>13</v>
      </c>
      <c r="M96">
        <v>40</v>
      </c>
    </row>
    <row r="97" spans="1:13" ht="13" customHeight="1" x14ac:dyDescent="0.15">
      <c r="A97">
        <v>95</v>
      </c>
      <c r="B97" t="s">
        <v>202</v>
      </c>
      <c r="C97" t="s">
        <v>10</v>
      </c>
      <c r="D97" t="s">
        <v>203</v>
      </c>
      <c r="E97">
        <v>75.7</v>
      </c>
      <c r="F97" t="s">
        <v>12</v>
      </c>
      <c r="G97" s="4">
        <f t="shared" si="3"/>
        <v>9.9075297225891674</v>
      </c>
      <c r="H97">
        <v>2.12</v>
      </c>
      <c r="I97">
        <v>0.52</v>
      </c>
      <c r="J97" s="6">
        <f t="shared" si="4"/>
        <v>6</v>
      </c>
      <c r="K97" s="7">
        <f t="shared" si="5"/>
        <v>0</v>
      </c>
      <c r="L97" t="s">
        <v>13</v>
      </c>
      <c r="M97">
        <v>40</v>
      </c>
    </row>
    <row r="98" spans="1:13" ht="13" customHeight="1" x14ac:dyDescent="0.15">
      <c r="A98">
        <v>96</v>
      </c>
      <c r="B98" t="s">
        <v>204</v>
      </c>
      <c r="C98" t="s">
        <v>10</v>
      </c>
      <c r="D98" t="s">
        <v>205</v>
      </c>
      <c r="E98">
        <v>496.6</v>
      </c>
      <c r="F98" t="s">
        <v>12</v>
      </c>
      <c r="G98" s="4">
        <f t="shared" si="3"/>
        <v>1.5102698348771646</v>
      </c>
      <c r="H98">
        <v>2.16</v>
      </c>
      <c r="I98">
        <v>2.31</v>
      </c>
      <c r="J98" s="6">
        <f t="shared" si="4"/>
        <v>1.5102698348771646</v>
      </c>
      <c r="K98" s="7">
        <f t="shared" si="5"/>
        <v>4.4897301651228352</v>
      </c>
      <c r="L98" t="s">
        <v>13</v>
      </c>
      <c r="M98">
        <v>40</v>
      </c>
    </row>
    <row r="99" spans="1:13" ht="13" customHeight="1" x14ac:dyDescent="0.15">
      <c r="A99">
        <v>97</v>
      </c>
      <c r="B99" t="s">
        <v>206</v>
      </c>
      <c r="C99" t="s">
        <v>10</v>
      </c>
      <c r="D99" t="s">
        <v>207</v>
      </c>
      <c r="E99">
        <v>198.7</v>
      </c>
      <c r="F99" t="s">
        <v>12</v>
      </c>
      <c r="G99" s="4">
        <f t="shared" si="3"/>
        <v>3.7745344740815301</v>
      </c>
      <c r="H99">
        <v>2.15</v>
      </c>
      <c r="I99">
        <v>1.95</v>
      </c>
      <c r="J99" s="6">
        <f t="shared" si="4"/>
        <v>3.7745344740815301</v>
      </c>
      <c r="K99" s="7">
        <f t="shared" si="5"/>
        <v>2.2254655259184699</v>
      </c>
      <c r="L99" t="s">
        <v>13</v>
      </c>
      <c r="M99">
        <v>40</v>
      </c>
    </row>
    <row r="100" spans="1:13" ht="13" customHeight="1" x14ac:dyDescent="0.15">
      <c r="A100">
        <v>98</v>
      </c>
      <c r="B100" t="s">
        <v>208</v>
      </c>
      <c r="C100" t="s">
        <v>10</v>
      </c>
      <c r="D100" t="s">
        <v>209</v>
      </c>
      <c r="E100">
        <v>220.2</v>
      </c>
      <c r="F100" t="s">
        <v>12</v>
      </c>
      <c r="G100" s="4">
        <f t="shared" si="3"/>
        <v>3.4059945504087197</v>
      </c>
      <c r="H100">
        <v>2.15</v>
      </c>
      <c r="I100">
        <v>2.23</v>
      </c>
      <c r="J100" s="6">
        <f t="shared" si="4"/>
        <v>3.4059945504087197</v>
      </c>
      <c r="K100" s="7">
        <f t="shared" si="5"/>
        <v>2.5940054495912803</v>
      </c>
      <c r="L100" t="s">
        <v>13</v>
      </c>
      <c r="M100">
        <v>40</v>
      </c>
    </row>
    <row r="101" spans="1:13" ht="13" customHeight="1" x14ac:dyDescent="0.15">
      <c r="A101">
        <v>99</v>
      </c>
      <c r="B101" t="s">
        <v>210</v>
      </c>
      <c r="C101" t="s">
        <v>10</v>
      </c>
      <c r="D101" t="s">
        <v>211</v>
      </c>
      <c r="E101">
        <v>239.6</v>
      </c>
      <c r="F101" t="s">
        <v>12</v>
      </c>
      <c r="G101" s="4">
        <f t="shared" si="3"/>
        <v>3.1302170283806343</v>
      </c>
      <c r="H101">
        <v>2.14</v>
      </c>
      <c r="I101">
        <v>2.0499999999999998</v>
      </c>
      <c r="J101" s="6">
        <f t="shared" si="4"/>
        <v>3.1302170283806343</v>
      </c>
      <c r="K101" s="7">
        <f t="shared" si="5"/>
        <v>2.8697829716193657</v>
      </c>
      <c r="L101" t="s">
        <v>13</v>
      </c>
      <c r="M101">
        <v>40</v>
      </c>
    </row>
    <row r="102" spans="1:13" ht="13" customHeight="1" x14ac:dyDescent="0.15">
      <c r="A102">
        <v>100</v>
      </c>
      <c r="B102" t="s">
        <v>212</v>
      </c>
      <c r="C102" t="s">
        <v>10</v>
      </c>
      <c r="D102" t="s">
        <v>213</v>
      </c>
      <c r="E102">
        <v>163.9</v>
      </c>
      <c r="F102" t="s">
        <v>12</v>
      </c>
      <c r="G102" s="4">
        <f t="shared" si="3"/>
        <v>4.5759609517998774</v>
      </c>
      <c r="H102">
        <v>2.13</v>
      </c>
      <c r="I102">
        <v>1.91</v>
      </c>
      <c r="J102" s="6">
        <f t="shared" si="4"/>
        <v>4.5759609517998774</v>
      </c>
      <c r="K102" s="7">
        <f t="shared" si="5"/>
        <v>1.4240390482001226</v>
      </c>
      <c r="L102" t="s">
        <v>13</v>
      </c>
      <c r="M102">
        <v>40</v>
      </c>
    </row>
    <row r="103" spans="1:13" ht="13" customHeight="1" x14ac:dyDescent="0.15">
      <c r="A103">
        <v>101</v>
      </c>
      <c r="B103" t="s">
        <v>214</v>
      </c>
      <c r="C103" t="s">
        <v>10</v>
      </c>
      <c r="D103" t="s">
        <v>215</v>
      </c>
      <c r="E103">
        <v>234.9</v>
      </c>
      <c r="F103" t="s">
        <v>12</v>
      </c>
      <c r="G103" s="4">
        <f t="shared" si="3"/>
        <v>3.1928480204342273</v>
      </c>
      <c r="H103">
        <v>2.17</v>
      </c>
      <c r="I103">
        <v>1.67</v>
      </c>
      <c r="J103" s="6">
        <f t="shared" si="4"/>
        <v>3.1928480204342273</v>
      </c>
      <c r="K103" s="7">
        <f t="shared" si="5"/>
        <v>2.8071519795657727</v>
      </c>
      <c r="L103" t="s">
        <v>13</v>
      </c>
      <c r="M103">
        <v>40</v>
      </c>
    </row>
    <row r="104" spans="1:13" ht="13" customHeight="1" x14ac:dyDescent="0.15">
      <c r="A104">
        <v>102</v>
      </c>
      <c r="B104" t="s">
        <v>216</v>
      </c>
      <c r="C104" t="s">
        <v>10</v>
      </c>
      <c r="D104" t="s">
        <v>217</v>
      </c>
      <c r="E104">
        <v>252.8</v>
      </c>
      <c r="F104" t="s">
        <v>12</v>
      </c>
      <c r="G104" s="4">
        <f t="shared" si="3"/>
        <v>2.9667721518987342</v>
      </c>
      <c r="H104">
        <v>2.16</v>
      </c>
      <c r="I104">
        <v>2.06</v>
      </c>
      <c r="J104" s="6">
        <f t="shared" si="4"/>
        <v>2.9667721518987342</v>
      </c>
      <c r="K104" s="7">
        <f t="shared" si="5"/>
        <v>3.0332278481012658</v>
      </c>
      <c r="L104" t="s">
        <v>13</v>
      </c>
      <c r="M104">
        <v>40</v>
      </c>
    </row>
    <row r="105" spans="1:13" ht="13" customHeight="1" x14ac:dyDescent="0.15">
      <c r="A105">
        <v>103</v>
      </c>
      <c r="B105" t="s">
        <v>218</v>
      </c>
      <c r="C105" t="s">
        <v>10</v>
      </c>
      <c r="D105" t="s">
        <v>219</v>
      </c>
      <c r="E105">
        <v>380.3</v>
      </c>
      <c r="F105" t="s">
        <v>12</v>
      </c>
      <c r="G105" s="4">
        <f t="shared" si="3"/>
        <v>1.9721272679463582</v>
      </c>
      <c r="H105">
        <v>2.15</v>
      </c>
      <c r="I105">
        <v>2.17</v>
      </c>
      <c r="J105" s="6">
        <f t="shared" si="4"/>
        <v>1.9721272679463582</v>
      </c>
      <c r="K105" s="7">
        <f t="shared" si="5"/>
        <v>4.027872732053642</v>
      </c>
      <c r="L105" t="s">
        <v>13</v>
      </c>
      <c r="M105">
        <v>40</v>
      </c>
    </row>
    <row r="106" spans="1:13" ht="13" customHeight="1" x14ac:dyDescent="0.15">
      <c r="A106">
        <v>104</v>
      </c>
      <c r="B106" t="s">
        <v>220</v>
      </c>
      <c r="C106" t="s">
        <v>10</v>
      </c>
      <c r="D106" t="s">
        <v>221</v>
      </c>
      <c r="E106">
        <v>500</v>
      </c>
      <c r="F106" t="s">
        <v>12</v>
      </c>
      <c r="G106" s="4">
        <f t="shared" si="3"/>
        <v>1.5</v>
      </c>
      <c r="H106">
        <v>2.0699999999999998</v>
      </c>
      <c r="I106">
        <v>2.14</v>
      </c>
      <c r="J106" s="6">
        <f t="shared" si="4"/>
        <v>1.5</v>
      </c>
      <c r="K106" s="7">
        <f t="shared" si="5"/>
        <v>4.5</v>
      </c>
      <c r="L106" t="s">
        <v>13</v>
      </c>
      <c r="M106">
        <v>40</v>
      </c>
    </row>
    <row r="107" spans="1:13" ht="13" customHeight="1" x14ac:dyDescent="0.15">
      <c r="A107">
        <v>105</v>
      </c>
      <c r="B107" t="s">
        <v>222</v>
      </c>
      <c r="C107" t="s">
        <v>10</v>
      </c>
      <c r="D107" t="s">
        <v>223</v>
      </c>
      <c r="E107">
        <v>165.1</v>
      </c>
      <c r="F107" t="s">
        <v>12</v>
      </c>
      <c r="G107" s="4">
        <f t="shared" si="3"/>
        <v>4.5427013930950944</v>
      </c>
      <c r="H107">
        <v>2.11</v>
      </c>
      <c r="I107">
        <v>1.9</v>
      </c>
      <c r="J107" s="6">
        <f t="shared" si="4"/>
        <v>4.5427013930950944</v>
      </c>
      <c r="K107" s="7">
        <f t="shared" si="5"/>
        <v>1.4572986069049056</v>
      </c>
      <c r="L107" t="s">
        <v>13</v>
      </c>
      <c r="M107">
        <v>40</v>
      </c>
    </row>
    <row r="108" spans="1:13" ht="13" customHeight="1" x14ac:dyDescent="0.15">
      <c r="A108">
        <v>106</v>
      </c>
      <c r="B108" t="s">
        <v>224</v>
      </c>
      <c r="C108" t="s">
        <v>10</v>
      </c>
      <c r="D108" t="s">
        <v>225</v>
      </c>
      <c r="E108">
        <v>204.9</v>
      </c>
      <c r="F108" t="s">
        <v>12</v>
      </c>
      <c r="G108" s="4">
        <f t="shared" si="3"/>
        <v>3.6603221083455342</v>
      </c>
      <c r="H108">
        <v>2.15</v>
      </c>
      <c r="I108">
        <v>2.2000000000000002</v>
      </c>
      <c r="J108" s="6">
        <f t="shared" si="4"/>
        <v>3.6603221083455342</v>
      </c>
      <c r="K108" s="7">
        <f t="shared" si="5"/>
        <v>2.3396778916544658</v>
      </c>
      <c r="L108" t="s">
        <v>13</v>
      </c>
      <c r="M108">
        <v>40</v>
      </c>
    </row>
    <row r="109" spans="1:13" ht="13" customHeight="1" x14ac:dyDescent="0.15">
      <c r="A109">
        <v>107</v>
      </c>
      <c r="B109" t="s">
        <v>226</v>
      </c>
      <c r="C109" t="s">
        <v>10</v>
      </c>
      <c r="D109" t="s">
        <v>227</v>
      </c>
      <c r="E109">
        <v>152.69999999999999</v>
      </c>
      <c r="F109" t="s">
        <v>12</v>
      </c>
      <c r="G109" s="4">
        <f t="shared" si="3"/>
        <v>4.9115913555992146</v>
      </c>
      <c r="H109">
        <v>2.16</v>
      </c>
      <c r="I109">
        <v>1.97</v>
      </c>
      <c r="J109" s="6">
        <f t="shared" si="4"/>
        <v>4.9115913555992146</v>
      </c>
      <c r="K109" s="7">
        <f t="shared" si="5"/>
        <v>1.0884086444007854</v>
      </c>
      <c r="L109" t="s">
        <v>13</v>
      </c>
      <c r="M109">
        <v>40</v>
      </c>
    </row>
    <row r="110" spans="1:13" ht="13" customHeight="1" x14ac:dyDescent="0.15">
      <c r="A110">
        <v>108</v>
      </c>
      <c r="B110" t="s">
        <v>228</v>
      </c>
      <c r="C110" t="s">
        <v>10</v>
      </c>
      <c r="D110" t="s">
        <v>229</v>
      </c>
      <c r="E110">
        <v>411.5</v>
      </c>
      <c r="F110" t="s">
        <v>12</v>
      </c>
      <c r="G110" s="4">
        <f t="shared" si="3"/>
        <v>1.8226002430133657</v>
      </c>
      <c r="H110">
        <v>2.15</v>
      </c>
      <c r="I110">
        <v>2.14</v>
      </c>
      <c r="J110" s="6">
        <f t="shared" si="4"/>
        <v>1.8226002430133657</v>
      </c>
      <c r="K110" s="7">
        <f t="shared" si="5"/>
        <v>4.1773997569866346</v>
      </c>
      <c r="L110" t="s">
        <v>13</v>
      </c>
      <c r="M110">
        <v>40</v>
      </c>
    </row>
    <row r="111" spans="1:13" ht="13" customHeight="1" x14ac:dyDescent="0.15">
      <c r="A111">
        <v>109</v>
      </c>
      <c r="B111" t="s">
        <v>230</v>
      </c>
      <c r="C111" t="s">
        <v>10</v>
      </c>
      <c r="D111" t="s">
        <v>231</v>
      </c>
      <c r="E111">
        <v>809.7</v>
      </c>
      <c r="F111" t="s">
        <v>12</v>
      </c>
      <c r="G111" s="4">
        <f t="shared" si="3"/>
        <v>0.92626898851426454</v>
      </c>
      <c r="H111">
        <v>2.14</v>
      </c>
      <c r="I111">
        <v>2.2000000000000002</v>
      </c>
      <c r="J111" s="6">
        <f t="shared" si="4"/>
        <v>0.92626898851426454</v>
      </c>
      <c r="K111" s="7">
        <f t="shared" si="5"/>
        <v>5.0737310114857355</v>
      </c>
      <c r="L111" t="s">
        <v>13</v>
      </c>
      <c r="M111">
        <v>40</v>
      </c>
    </row>
    <row r="112" spans="1:13" ht="13" customHeight="1" x14ac:dyDescent="0.15">
      <c r="A112">
        <v>110</v>
      </c>
      <c r="B112" t="s">
        <v>232</v>
      </c>
      <c r="C112" t="s">
        <v>10</v>
      </c>
      <c r="D112" t="s">
        <v>233</v>
      </c>
      <c r="E112">
        <v>270.2</v>
      </c>
      <c r="F112" t="s">
        <v>12</v>
      </c>
      <c r="G112" s="4">
        <f t="shared" si="3"/>
        <v>2.7757216876387862</v>
      </c>
      <c r="H112">
        <v>2.15</v>
      </c>
      <c r="I112">
        <v>1.02</v>
      </c>
      <c r="J112" s="6">
        <f t="shared" si="4"/>
        <v>2.7757216876387862</v>
      </c>
      <c r="K112" s="7">
        <f t="shared" si="5"/>
        <v>3.2242783123612138</v>
      </c>
      <c r="L112" t="s">
        <v>13</v>
      </c>
      <c r="M112">
        <v>40</v>
      </c>
    </row>
    <row r="113" spans="1:13" ht="13" customHeight="1" x14ac:dyDescent="0.15">
      <c r="A113">
        <v>111</v>
      </c>
      <c r="B113" t="s">
        <v>234</v>
      </c>
      <c r="C113" t="s">
        <v>10</v>
      </c>
      <c r="D113" t="s">
        <v>235</v>
      </c>
      <c r="E113">
        <v>827</v>
      </c>
      <c r="F113" t="s">
        <v>12</v>
      </c>
      <c r="G113" s="4">
        <f t="shared" si="3"/>
        <v>0.90689238210399037</v>
      </c>
      <c r="H113">
        <v>2.14</v>
      </c>
      <c r="I113">
        <v>2.38</v>
      </c>
      <c r="J113" s="6">
        <f t="shared" si="4"/>
        <v>0.90689238210399037</v>
      </c>
      <c r="K113" s="7">
        <f t="shared" si="5"/>
        <v>5.0931076178960097</v>
      </c>
      <c r="L113" t="s">
        <v>13</v>
      </c>
      <c r="M113">
        <v>40</v>
      </c>
    </row>
  </sheetData>
  <conditionalFormatting sqref="K1">
    <cfRule type="cellIs" dxfId="18" priority="7" operator="greaterThan">
      <formula>0.01</formula>
    </cfRule>
  </conditionalFormatting>
  <conditionalFormatting sqref="E1:E113">
    <cfRule type="cellIs" dxfId="17" priority="5" operator="between">
      <formula>26</formula>
      <formula>115</formula>
    </cfRule>
    <cfRule type="cellIs" dxfId="16" priority="6" operator="lessThan">
      <formula>26</formula>
    </cfRule>
  </conditionalFormatting>
  <conditionalFormatting sqref="H1:H113">
    <cfRule type="cellIs" dxfId="15" priority="3" operator="between">
      <formula>0.5</formula>
      <formula>1.6</formula>
    </cfRule>
    <cfRule type="cellIs" dxfId="14" priority="4" operator="lessThan">
      <formula>0.5</formula>
    </cfRule>
  </conditionalFormatting>
  <conditionalFormatting sqref="I1:I113">
    <cfRule type="cellIs" dxfId="13" priority="1" operator="between">
      <formula>0.5</formula>
      <formula>1.75</formula>
    </cfRule>
    <cfRule type="cellIs" dxfId="12" priority="2" operator="lessThan">
      <formula>0.5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13"/>
  <sheetViews>
    <sheetView workbookViewId="0">
      <selection activeCell="A2" sqref="A2"/>
    </sheetView>
  </sheetViews>
  <sheetFormatPr baseColWidth="10" defaultRowHeight="13" x14ac:dyDescent="0.15"/>
  <sheetData>
    <row r="1" spans="1:6" x14ac:dyDescent="0.15">
      <c r="A1" t="s">
        <v>0</v>
      </c>
      <c r="B1" s="13" t="s">
        <v>3</v>
      </c>
      <c r="C1" s="13" t="s">
        <v>5</v>
      </c>
      <c r="D1" s="13" t="s">
        <v>6</v>
      </c>
      <c r="E1" s="13" t="s">
        <v>238</v>
      </c>
      <c r="F1" s="13" t="s">
        <v>239</v>
      </c>
    </row>
    <row r="2" spans="1:6" x14ac:dyDescent="0.15">
      <c r="A2" t="s">
        <v>9</v>
      </c>
      <c r="B2">
        <v>54.1</v>
      </c>
      <c r="C2">
        <v>2.15</v>
      </c>
      <c r="D2">
        <v>1.96</v>
      </c>
      <c r="E2" s="5">
        <v>6</v>
      </c>
      <c r="F2" s="5">
        <v>0</v>
      </c>
    </row>
    <row r="3" spans="1:6" x14ac:dyDescent="0.15">
      <c r="A3" t="s">
        <v>14</v>
      </c>
      <c r="B3">
        <v>2.8</v>
      </c>
      <c r="C3">
        <v>1.3</v>
      </c>
      <c r="D3">
        <v>0.16</v>
      </c>
      <c r="E3" s="5">
        <v>6</v>
      </c>
      <c r="F3" s="5">
        <v>0</v>
      </c>
    </row>
    <row r="4" spans="1:6" x14ac:dyDescent="0.15">
      <c r="A4" t="s">
        <v>16</v>
      </c>
      <c r="B4">
        <v>339.8</v>
      </c>
      <c r="C4">
        <v>2.13</v>
      </c>
      <c r="D4">
        <v>1.62</v>
      </c>
      <c r="E4" s="5">
        <v>2.2071806945261918</v>
      </c>
      <c r="F4" s="5">
        <v>3.7928193054738082</v>
      </c>
    </row>
    <row r="5" spans="1:6" x14ac:dyDescent="0.15">
      <c r="A5" t="s">
        <v>18</v>
      </c>
      <c r="B5">
        <v>354.6</v>
      </c>
      <c r="C5">
        <v>2.14</v>
      </c>
      <c r="D5">
        <v>1.0900000000000001</v>
      </c>
      <c r="E5" s="5">
        <v>2.1150592216582065</v>
      </c>
      <c r="F5" s="5">
        <v>3.8849407783417935</v>
      </c>
    </row>
    <row r="6" spans="1:6" x14ac:dyDescent="0.15">
      <c r="A6" t="s">
        <v>20</v>
      </c>
      <c r="B6">
        <v>159.1</v>
      </c>
      <c r="C6">
        <v>2.12</v>
      </c>
      <c r="D6">
        <v>0.76</v>
      </c>
      <c r="E6" s="5">
        <v>4.714016341923319</v>
      </c>
      <c r="F6" s="5">
        <v>1.285983658076681</v>
      </c>
    </row>
    <row r="7" spans="1:6" x14ac:dyDescent="0.15">
      <c r="A7" t="s">
        <v>22</v>
      </c>
      <c r="B7">
        <v>351.7</v>
      </c>
      <c r="C7">
        <v>2.14</v>
      </c>
      <c r="D7">
        <v>2.27</v>
      </c>
      <c r="E7" s="5">
        <v>2.1324992891669039</v>
      </c>
      <c r="F7" s="5">
        <v>3.8675007108330961</v>
      </c>
    </row>
    <row r="8" spans="1:6" x14ac:dyDescent="0.15">
      <c r="A8" t="s">
        <v>24</v>
      </c>
      <c r="B8">
        <v>322</v>
      </c>
      <c r="C8">
        <v>2.13</v>
      </c>
      <c r="D8">
        <v>1.52</v>
      </c>
      <c r="E8" s="5">
        <v>2.329192546583851</v>
      </c>
      <c r="F8" s="5">
        <v>3.670807453416149</v>
      </c>
    </row>
    <row r="9" spans="1:6" x14ac:dyDescent="0.15">
      <c r="A9" t="s">
        <v>26</v>
      </c>
      <c r="B9">
        <v>131.30000000000001</v>
      </c>
      <c r="C9">
        <v>2.13</v>
      </c>
      <c r="D9">
        <v>1.88</v>
      </c>
      <c r="E9" s="5">
        <v>5.7121096725057114</v>
      </c>
      <c r="F9" s="5">
        <v>0.28789032749428856</v>
      </c>
    </row>
    <row r="10" spans="1:6" x14ac:dyDescent="0.15">
      <c r="A10" t="s">
        <v>28</v>
      </c>
      <c r="B10">
        <v>126</v>
      </c>
      <c r="C10">
        <v>2.1</v>
      </c>
      <c r="D10">
        <v>1.55</v>
      </c>
      <c r="E10" s="5">
        <v>5.9523809523809526</v>
      </c>
      <c r="F10" s="5">
        <v>4.761904761904745E-2</v>
      </c>
    </row>
    <row r="11" spans="1:6" x14ac:dyDescent="0.15">
      <c r="A11" t="s">
        <v>30</v>
      </c>
      <c r="B11">
        <v>74</v>
      </c>
      <c r="C11">
        <v>1.98</v>
      </c>
      <c r="D11">
        <v>0.98</v>
      </c>
      <c r="E11" s="5">
        <v>6</v>
      </c>
      <c r="F11" s="5">
        <v>0</v>
      </c>
    </row>
    <row r="12" spans="1:6" x14ac:dyDescent="0.15">
      <c r="A12" t="s">
        <v>32</v>
      </c>
      <c r="B12">
        <v>466.7</v>
      </c>
      <c r="C12">
        <v>2.11</v>
      </c>
      <c r="D12">
        <v>2.2200000000000002</v>
      </c>
      <c r="E12" s="5">
        <v>1.6070280694236125</v>
      </c>
      <c r="F12" s="5">
        <v>4.3929719305763877</v>
      </c>
    </row>
    <row r="13" spans="1:6" x14ac:dyDescent="0.15">
      <c r="A13" t="s">
        <v>34</v>
      </c>
      <c r="B13">
        <v>392.2</v>
      </c>
      <c r="C13">
        <v>2.14</v>
      </c>
      <c r="D13">
        <v>2.2200000000000002</v>
      </c>
      <c r="E13" s="5">
        <v>1.9122896481387048</v>
      </c>
      <c r="F13" s="5">
        <v>4.0877103518612952</v>
      </c>
    </row>
    <row r="14" spans="1:6" x14ac:dyDescent="0.15">
      <c r="A14" t="s">
        <v>36</v>
      </c>
      <c r="B14">
        <v>431</v>
      </c>
      <c r="C14">
        <v>2.1</v>
      </c>
      <c r="D14">
        <v>1.91</v>
      </c>
      <c r="E14" s="5">
        <v>1.740139211136891</v>
      </c>
      <c r="F14" s="5">
        <v>4.2598607888631088</v>
      </c>
    </row>
    <row r="15" spans="1:6" x14ac:dyDescent="0.15">
      <c r="A15" t="s">
        <v>38</v>
      </c>
      <c r="B15">
        <v>336.7</v>
      </c>
      <c r="C15">
        <v>2.14</v>
      </c>
      <c r="D15">
        <v>1.61</v>
      </c>
      <c r="E15" s="5">
        <v>2.2275022275022276</v>
      </c>
      <c r="F15" s="5">
        <v>3.7724977724977724</v>
      </c>
    </row>
    <row r="16" spans="1:6" x14ac:dyDescent="0.15">
      <c r="A16" t="s">
        <v>40</v>
      </c>
      <c r="B16">
        <v>378.1</v>
      </c>
      <c r="C16">
        <v>2.14</v>
      </c>
      <c r="D16">
        <v>2.25</v>
      </c>
      <c r="E16" s="5">
        <v>1.9836022216344882</v>
      </c>
      <c r="F16" s="5">
        <v>4.016397778365512</v>
      </c>
    </row>
    <row r="17" spans="1:6" x14ac:dyDescent="0.15">
      <c r="A17" t="s">
        <v>42</v>
      </c>
      <c r="B17">
        <v>687</v>
      </c>
      <c r="C17">
        <v>2.17</v>
      </c>
      <c r="D17">
        <v>2.34</v>
      </c>
      <c r="E17" s="5">
        <v>1.0917030567685591</v>
      </c>
      <c r="F17" s="5">
        <v>4.9082969432314414</v>
      </c>
    </row>
    <row r="18" spans="1:6" x14ac:dyDescent="0.15">
      <c r="A18" t="s">
        <v>44</v>
      </c>
      <c r="B18">
        <v>254.6</v>
      </c>
      <c r="C18">
        <v>2.14</v>
      </c>
      <c r="D18">
        <v>1.93</v>
      </c>
      <c r="E18" s="5">
        <v>2.9457973291437551</v>
      </c>
      <c r="F18" s="5">
        <v>3.0542026708562449</v>
      </c>
    </row>
    <row r="19" spans="1:6" x14ac:dyDescent="0.15">
      <c r="A19" t="s">
        <v>46</v>
      </c>
      <c r="B19">
        <v>223.5</v>
      </c>
      <c r="C19">
        <v>2.12</v>
      </c>
      <c r="D19">
        <v>1.59</v>
      </c>
      <c r="E19" s="5">
        <v>3.3557046979865772</v>
      </c>
      <c r="F19" s="5">
        <v>2.6442953020134228</v>
      </c>
    </row>
    <row r="20" spans="1:6" x14ac:dyDescent="0.15">
      <c r="A20" t="s">
        <v>48</v>
      </c>
      <c r="B20">
        <v>179.8</v>
      </c>
      <c r="C20">
        <v>2.14</v>
      </c>
      <c r="D20">
        <v>0.96</v>
      </c>
      <c r="E20" s="5">
        <v>4.1713014460511673</v>
      </c>
      <c r="F20" s="5">
        <v>1.8286985539488327</v>
      </c>
    </row>
    <row r="21" spans="1:6" x14ac:dyDescent="0.15">
      <c r="A21" t="s">
        <v>50</v>
      </c>
      <c r="B21">
        <v>256.3</v>
      </c>
      <c r="C21">
        <v>2.14</v>
      </c>
      <c r="D21">
        <v>2.19</v>
      </c>
      <c r="E21" s="5">
        <v>2.926258291065158</v>
      </c>
      <c r="F21" s="5">
        <v>3.073741708934842</v>
      </c>
    </row>
    <row r="22" spans="1:6" x14ac:dyDescent="0.15">
      <c r="A22" t="s">
        <v>52</v>
      </c>
      <c r="B22">
        <v>306.7</v>
      </c>
      <c r="C22">
        <v>2.15</v>
      </c>
      <c r="D22">
        <v>1.21</v>
      </c>
      <c r="E22" s="5">
        <v>2.4453863710466255</v>
      </c>
      <c r="F22" s="5">
        <v>3.5546136289533745</v>
      </c>
    </row>
    <row r="23" spans="1:6" x14ac:dyDescent="0.15">
      <c r="A23" t="s">
        <v>54</v>
      </c>
      <c r="B23">
        <v>673.1</v>
      </c>
      <c r="C23">
        <v>2.1800000000000002</v>
      </c>
      <c r="D23">
        <v>2.12</v>
      </c>
      <c r="E23" s="5">
        <v>1.114247511513891</v>
      </c>
      <c r="F23" s="5">
        <v>4.8857524884861085</v>
      </c>
    </row>
    <row r="24" spans="1:6" x14ac:dyDescent="0.15">
      <c r="A24" t="s">
        <v>56</v>
      </c>
      <c r="B24">
        <v>422.4</v>
      </c>
      <c r="C24">
        <v>2.14</v>
      </c>
      <c r="D24">
        <v>2.2400000000000002</v>
      </c>
      <c r="E24" s="5">
        <v>1.7755681818181819</v>
      </c>
      <c r="F24" s="5">
        <v>4.2244318181818183</v>
      </c>
    </row>
    <row r="25" spans="1:6" x14ac:dyDescent="0.15">
      <c r="A25" t="s">
        <v>58</v>
      </c>
      <c r="B25">
        <v>421.8</v>
      </c>
      <c r="C25">
        <v>2.15</v>
      </c>
      <c r="D25">
        <v>2.2400000000000002</v>
      </c>
      <c r="E25" s="5">
        <v>1.7780938833570412</v>
      </c>
      <c r="F25" s="5">
        <v>4.221906116642959</v>
      </c>
    </row>
    <row r="26" spans="1:6" x14ac:dyDescent="0.15">
      <c r="A26" t="s">
        <v>60</v>
      </c>
      <c r="B26">
        <v>279.3</v>
      </c>
      <c r="C26">
        <v>2.1</v>
      </c>
      <c r="D26">
        <v>1.64</v>
      </c>
      <c r="E26" s="5">
        <v>2.685284640171858</v>
      </c>
      <c r="F26" s="5">
        <v>3.314715359828142</v>
      </c>
    </row>
    <row r="27" spans="1:6" x14ac:dyDescent="0.15">
      <c r="A27" t="s">
        <v>62</v>
      </c>
      <c r="B27">
        <v>262</v>
      </c>
      <c r="C27">
        <v>2.1</v>
      </c>
      <c r="D27">
        <v>1.39</v>
      </c>
      <c r="E27" s="5">
        <v>2.8625954198473282</v>
      </c>
      <c r="F27" s="5">
        <v>3.1374045801526718</v>
      </c>
    </row>
    <row r="28" spans="1:6" x14ac:dyDescent="0.15">
      <c r="A28" t="s">
        <v>64</v>
      </c>
      <c r="B28">
        <v>393.5</v>
      </c>
      <c r="C28">
        <v>2.14</v>
      </c>
      <c r="D28">
        <v>2.19</v>
      </c>
      <c r="E28" s="5">
        <v>1.9059720457433291</v>
      </c>
      <c r="F28" s="5">
        <v>4.0940279542566707</v>
      </c>
    </row>
    <row r="29" spans="1:6" x14ac:dyDescent="0.15">
      <c r="A29" t="s">
        <v>66</v>
      </c>
      <c r="B29">
        <v>364</v>
      </c>
      <c r="C29">
        <v>2.13</v>
      </c>
      <c r="D29">
        <v>2.2000000000000002</v>
      </c>
      <c r="E29" s="5">
        <v>2.0604395604395602</v>
      </c>
      <c r="F29" s="5">
        <v>3.9395604395604398</v>
      </c>
    </row>
    <row r="30" spans="1:6" x14ac:dyDescent="0.15">
      <c r="A30" t="s">
        <v>68</v>
      </c>
      <c r="B30">
        <v>391.7</v>
      </c>
      <c r="C30">
        <v>2.15</v>
      </c>
      <c r="D30">
        <v>1.54</v>
      </c>
      <c r="E30" s="5">
        <v>1.9147306612203217</v>
      </c>
      <c r="F30" s="5">
        <v>4.0852693387796783</v>
      </c>
    </row>
    <row r="31" spans="1:6" x14ac:dyDescent="0.15">
      <c r="A31" t="s">
        <v>70</v>
      </c>
      <c r="B31">
        <v>255.1</v>
      </c>
      <c r="C31">
        <v>2.15</v>
      </c>
      <c r="D31">
        <v>2.1800000000000002</v>
      </c>
      <c r="E31" s="5">
        <v>2.9400235201881615</v>
      </c>
      <c r="F31" s="5">
        <v>3.0599764798118385</v>
      </c>
    </row>
    <row r="32" spans="1:6" x14ac:dyDescent="0.15">
      <c r="A32" t="s">
        <v>72</v>
      </c>
      <c r="B32">
        <v>268.7</v>
      </c>
      <c r="C32">
        <v>2.15</v>
      </c>
      <c r="D32">
        <v>2.2400000000000002</v>
      </c>
      <c r="E32" s="5">
        <v>2.7912169705991814</v>
      </c>
      <c r="F32" s="5">
        <v>3.2087830294008186</v>
      </c>
    </row>
    <row r="33" spans="1:6" x14ac:dyDescent="0.15">
      <c r="A33" t="s">
        <v>74</v>
      </c>
      <c r="B33">
        <v>210.9</v>
      </c>
      <c r="C33">
        <v>2.15</v>
      </c>
      <c r="D33">
        <v>1.72</v>
      </c>
      <c r="E33" s="5">
        <v>3.5561877667140824</v>
      </c>
      <c r="F33" s="5">
        <v>2.4438122332859176</v>
      </c>
    </row>
    <row r="34" spans="1:6" x14ac:dyDescent="0.15">
      <c r="A34" t="s">
        <v>76</v>
      </c>
      <c r="B34">
        <v>145.9</v>
      </c>
      <c r="C34">
        <v>2.15</v>
      </c>
      <c r="D34">
        <v>1.51</v>
      </c>
      <c r="E34" s="5">
        <v>5.1405071967100753</v>
      </c>
      <c r="F34" s="5">
        <v>0.85949280328992472</v>
      </c>
    </row>
    <row r="35" spans="1:6" x14ac:dyDescent="0.15">
      <c r="A35" t="s">
        <v>78</v>
      </c>
      <c r="B35">
        <v>281.3</v>
      </c>
      <c r="C35">
        <v>2.15</v>
      </c>
      <c r="D35">
        <v>1.96</v>
      </c>
      <c r="E35" s="5">
        <v>2.6661926768574475</v>
      </c>
      <c r="F35" s="5">
        <v>3.3338073231425525</v>
      </c>
    </row>
    <row r="36" spans="1:6" x14ac:dyDescent="0.15">
      <c r="A36" t="s">
        <v>80</v>
      </c>
      <c r="B36">
        <v>295.3</v>
      </c>
      <c r="C36">
        <v>2.15</v>
      </c>
      <c r="D36">
        <v>2.14</v>
      </c>
      <c r="E36" s="5">
        <v>2.5397900440230274</v>
      </c>
      <c r="F36" s="5">
        <v>3.4602099559769726</v>
      </c>
    </row>
    <row r="37" spans="1:6" x14ac:dyDescent="0.15">
      <c r="A37" t="s">
        <v>82</v>
      </c>
      <c r="B37">
        <v>266.2</v>
      </c>
      <c r="C37">
        <v>2.16</v>
      </c>
      <c r="D37">
        <v>1.06</v>
      </c>
      <c r="E37" s="5">
        <v>2.8174305033809168</v>
      </c>
      <c r="F37" s="5">
        <v>3.1825694966190832</v>
      </c>
    </row>
    <row r="38" spans="1:6" x14ac:dyDescent="0.15">
      <c r="A38" t="s">
        <v>84</v>
      </c>
      <c r="B38">
        <v>121.6</v>
      </c>
      <c r="C38">
        <v>2.17</v>
      </c>
      <c r="D38">
        <v>1.02</v>
      </c>
      <c r="E38" s="5">
        <v>6</v>
      </c>
      <c r="F38" s="5">
        <v>0</v>
      </c>
    </row>
    <row r="39" spans="1:6" x14ac:dyDescent="0.15">
      <c r="A39" t="s">
        <v>86</v>
      </c>
      <c r="B39">
        <v>207.3</v>
      </c>
      <c r="C39">
        <v>2.14</v>
      </c>
      <c r="D39">
        <v>2.1800000000000002</v>
      </c>
      <c r="E39" s="5">
        <v>3.6179450072358899</v>
      </c>
      <c r="F39" s="5">
        <v>2.3820549927641101</v>
      </c>
    </row>
    <row r="40" spans="1:6" x14ac:dyDescent="0.15">
      <c r="A40" t="s">
        <v>88</v>
      </c>
      <c r="B40">
        <v>164.2</v>
      </c>
      <c r="C40">
        <v>2.15</v>
      </c>
      <c r="D40">
        <v>1.63</v>
      </c>
      <c r="E40" s="5">
        <v>4.5676004872107185</v>
      </c>
      <c r="F40" s="5">
        <v>1.4323995127892815</v>
      </c>
    </row>
    <row r="41" spans="1:6" x14ac:dyDescent="0.15">
      <c r="A41" t="s">
        <v>90</v>
      </c>
      <c r="B41">
        <v>115.4</v>
      </c>
      <c r="C41">
        <v>2.14</v>
      </c>
      <c r="D41">
        <v>2.2000000000000002</v>
      </c>
      <c r="E41" s="5">
        <v>6</v>
      </c>
      <c r="F41" s="5">
        <v>0</v>
      </c>
    </row>
    <row r="42" spans="1:6" x14ac:dyDescent="0.15">
      <c r="A42" t="s">
        <v>92</v>
      </c>
      <c r="B42">
        <v>297.2</v>
      </c>
      <c r="C42">
        <v>2.15</v>
      </c>
      <c r="D42">
        <v>2.29</v>
      </c>
      <c r="E42" s="5">
        <v>2.5235531628532977</v>
      </c>
      <c r="F42" s="5">
        <v>3.4764468371467023</v>
      </c>
    </row>
    <row r="43" spans="1:6" x14ac:dyDescent="0.15">
      <c r="A43" t="s">
        <v>94</v>
      </c>
      <c r="B43">
        <v>225.6</v>
      </c>
      <c r="C43">
        <v>2.14</v>
      </c>
      <c r="D43">
        <v>2.12</v>
      </c>
      <c r="E43" s="5">
        <v>3.3244680851063833</v>
      </c>
      <c r="F43" s="5">
        <v>2.6755319148936167</v>
      </c>
    </row>
    <row r="44" spans="1:6" x14ac:dyDescent="0.15">
      <c r="A44" t="s">
        <v>96</v>
      </c>
      <c r="B44">
        <v>378.8</v>
      </c>
      <c r="C44">
        <v>2.15</v>
      </c>
      <c r="D44">
        <v>2.27</v>
      </c>
      <c r="E44" s="5">
        <v>1.9799366420274551</v>
      </c>
      <c r="F44" s="5">
        <v>4.0200633579725444</v>
      </c>
    </row>
    <row r="45" spans="1:6" x14ac:dyDescent="0.15">
      <c r="A45" t="s">
        <v>98</v>
      </c>
      <c r="B45">
        <v>193.3</v>
      </c>
      <c r="C45">
        <v>2.12</v>
      </c>
      <c r="D45">
        <v>1.87</v>
      </c>
      <c r="E45" s="5">
        <v>3.8799793067770305</v>
      </c>
      <c r="F45" s="5">
        <v>2.1200206932229695</v>
      </c>
    </row>
    <row r="46" spans="1:6" x14ac:dyDescent="0.15">
      <c r="A46" t="s">
        <v>100</v>
      </c>
      <c r="B46">
        <v>584.20000000000005</v>
      </c>
      <c r="C46">
        <v>2.13</v>
      </c>
      <c r="D46">
        <v>2.29</v>
      </c>
      <c r="E46" s="5">
        <v>1.2838069154399177</v>
      </c>
      <c r="F46" s="5">
        <v>4.7161930845600821</v>
      </c>
    </row>
    <row r="47" spans="1:6" x14ac:dyDescent="0.15">
      <c r="A47" t="s">
        <v>102</v>
      </c>
      <c r="B47">
        <v>250.4</v>
      </c>
      <c r="C47">
        <v>2.16</v>
      </c>
      <c r="D47">
        <v>1.28</v>
      </c>
      <c r="E47" s="5">
        <v>2.9952076677316293</v>
      </c>
      <c r="F47" s="5">
        <v>3.0047923322683707</v>
      </c>
    </row>
    <row r="48" spans="1:6" x14ac:dyDescent="0.15">
      <c r="A48" t="s">
        <v>104</v>
      </c>
      <c r="B48">
        <v>163</v>
      </c>
      <c r="C48">
        <v>2.15</v>
      </c>
      <c r="D48">
        <v>2.2000000000000002</v>
      </c>
      <c r="E48" s="5">
        <v>4.6012269938650308</v>
      </c>
      <c r="F48" s="5">
        <v>1.3987730061349692</v>
      </c>
    </row>
    <row r="49" spans="1:6" x14ac:dyDescent="0.15">
      <c r="A49" t="s">
        <v>106</v>
      </c>
      <c r="B49">
        <v>469.4</v>
      </c>
      <c r="C49">
        <v>2.14</v>
      </c>
      <c r="D49">
        <v>2.2200000000000002</v>
      </c>
      <c r="E49" s="5">
        <v>1.5977844056242012</v>
      </c>
      <c r="F49" s="5">
        <v>4.4022155943757983</v>
      </c>
    </row>
    <row r="50" spans="1:6" x14ac:dyDescent="0.15">
      <c r="A50" t="s">
        <v>108</v>
      </c>
      <c r="B50">
        <v>448</v>
      </c>
      <c r="C50">
        <v>2.14</v>
      </c>
      <c r="D50">
        <v>2.29</v>
      </c>
      <c r="E50" s="5">
        <v>1.6741071428571428</v>
      </c>
      <c r="F50" s="5">
        <v>4.3258928571428577</v>
      </c>
    </row>
    <row r="51" spans="1:6" x14ac:dyDescent="0.15">
      <c r="A51" t="s">
        <v>110</v>
      </c>
      <c r="B51">
        <v>442.1</v>
      </c>
      <c r="C51">
        <v>2.14</v>
      </c>
      <c r="D51">
        <v>1.92</v>
      </c>
      <c r="E51" s="5">
        <v>1.696448767247229</v>
      </c>
      <c r="F51" s="5">
        <v>4.3035512327527705</v>
      </c>
    </row>
    <row r="52" spans="1:6" x14ac:dyDescent="0.15">
      <c r="A52" t="s">
        <v>112</v>
      </c>
      <c r="B52">
        <v>327.39999999999998</v>
      </c>
      <c r="C52">
        <v>2.15</v>
      </c>
      <c r="D52">
        <v>2.2400000000000002</v>
      </c>
      <c r="E52" s="5">
        <v>2.2907758094074526</v>
      </c>
      <c r="F52" s="5">
        <v>3.7092241905925474</v>
      </c>
    </row>
    <row r="53" spans="1:6" x14ac:dyDescent="0.15">
      <c r="A53" t="s">
        <v>114</v>
      </c>
      <c r="B53">
        <v>423.4</v>
      </c>
      <c r="C53">
        <v>2.15</v>
      </c>
      <c r="D53">
        <v>2.2200000000000002</v>
      </c>
      <c r="E53" s="5">
        <v>1.7713745866792632</v>
      </c>
      <c r="F53" s="5">
        <v>4.2286254133207368</v>
      </c>
    </row>
    <row r="54" spans="1:6" x14ac:dyDescent="0.15">
      <c r="A54" t="s">
        <v>116</v>
      </c>
      <c r="B54">
        <v>368.2</v>
      </c>
      <c r="C54">
        <v>2.15</v>
      </c>
      <c r="D54">
        <v>2.09</v>
      </c>
      <c r="E54" s="5">
        <v>2.0369364475828355</v>
      </c>
      <c r="F54" s="5">
        <v>3.9630635524171645</v>
      </c>
    </row>
    <row r="55" spans="1:6" x14ac:dyDescent="0.15">
      <c r="A55" t="s">
        <v>118</v>
      </c>
      <c r="B55">
        <v>296.39999999999998</v>
      </c>
      <c r="C55">
        <v>2.15</v>
      </c>
      <c r="D55">
        <v>2.33</v>
      </c>
      <c r="E55" s="5">
        <v>2.5303643724696356</v>
      </c>
      <c r="F55" s="5">
        <v>3.4696356275303644</v>
      </c>
    </row>
    <row r="56" spans="1:6" x14ac:dyDescent="0.15">
      <c r="A56" t="s">
        <v>120</v>
      </c>
      <c r="B56">
        <v>99.9</v>
      </c>
      <c r="C56">
        <v>2.16</v>
      </c>
      <c r="D56">
        <v>1.71</v>
      </c>
      <c r="E56" s="5">
        <v>6</v>
      </c>
      <c r="F56" s="5">
        <v>0</v>
      </c>
    </row>
    <row r="57" spans="1:6" x14ac:dyDescent="0.15">
      <c r="A57" t="s">
        <v>122</v>
      </c>
      <c r="B57">
        <v>474</v>
      </c>
      <c r="C57">
        <v>2.14</v>
      </c>
      <c r="D57">
        <v>2.2799999999999998</v>
      </c>
      <c r="E57" s="5">
        <v>1.5822784810126582</v>
      </c>
      <c r="F57" s="5">
        <v>4.4177215189873422</v>
      </c>
    </row>
    <row r="58" spans="1:6" x14ac:dyDescent="0.15">
      <c r="A58" t="s">
        <v>124</v>
      </c>
      <c r="B58">
        <v>470.5</v>
      </c>
      <c r="C58">
        <v>2.15</v>
      </c>
      <c r="D58">
        <v>2.02</v>
      </c>
      <c r="E58" s="5">
        <v>1.5940488841657812</v>
      </c>
      <c r="F58" s="5">
        <v>4.4059511158342186</v>
      </c>
    </row>
    <row r="59" spans="1:6" x14ac:dyDescent="0.15">
      <c r="A59" t="s">
        <v>126</v>
      </c>
      <c r="B59">
        <v>328.1</v>
      </c>
      <c r="C59">
        <v>2.15</v>
      </c>
      <c r="D59">
        <v>2.02</v>
      </c>
      <c r="E59" s="5">
        <v>2.2858884486437061</v>
      </c>
      <c r="F59" s="5">
        <v>3.7141115513562939</v>
      </c>
    </row>
    <row r="60" spans="1:6" x14ac:dyDescent="0.15">
      <c r="A60" t="s">
        <v>128</v>
      </c>
      <c r="B60">
        <v>247</v>
      </c>
      <c r="C60">
        <v>2.16</v>
      </c>
      <c r="D60">
        <v>2.33</v>
      </c>
      <c r="E60" s="5">
        <v>3.0364372469635628</v>
      </c>
      <c r="F60" s="5">
        <v>2.9635627530364372</v>
      </c>
    </row>
    <row r="61" spans="1:6" x14ac:dyDescent="0.15">
      <c r="A61" t="s">
        <v>130</v>
      </c>
      <c r="B61">
        <v>313.3</v>
      </c>
      <c r="C61">
        <v>2.16</v>
      </c>
      <c r="D61">
        <v>1.07</v>
      </c>
      <c r="E61" s="5">
        <v>2.3938716884774975</v>
      </c>
      <c r="F61" s="5">
        <v>3.6061283115225025</v>
      </c>
    </row>
    <row r="62" spans="1:6" x14ac:dyDescent="0.15">
      <c r="A62" t="s">
        <v>132</v>
      </c>
      <c r="B62">
        <v>308.2</v>
      </c>
      <c r="C62">
        <v>2.14</v>
      </c>
      <c r="D62">
        <v>1.9</v>
      </c>
      <c r="E62" s="5">
        <v>2.4334847501622323</v>
      </c>
      <c r="F62" s="5">
        <v>3.5665152498377677</v>
      </c>
    </row>
    <row r="63" spans="1:6" x14ac:dyDescent="0.15">
      <c r="A63" t="s">
        <v>134</v>
      </c>
      <c r="B63">
        <v>430.4</v>
      </c>
      <c r="C63">
        <v>2.14</v>
      </c>
      <c r="D63">
        <v>1.9</v>
      </c>
      <c r="E63" s="5">
        <v>1.742565055762082</v>
      </c>
      <c r="F63" s="5">
        <v>4.257434944237918</v>
      </c>
    </row>
    <row r="64" spans="1:6" x14ac:dyDescent="0.15">
      <c r="A64" t="s">
        <v>136</v>
      </c>
      <c r="B64">
        <v>291.7</v>
      </c>
      <c r="C64">
        <v>2.16</v>
      </c>
      <c r="D64">
        <v>1.81</v>
      </c>
      <c r="E64" s="5">
        <v>2.5711347274597189</v>
      </c>
      <c r="F64" s="5">
        <v>3.4288652725402811</v>
      </c>
    </row>
    <row r="65" spans="1:6" x14ac:dyDescent="0.15">
      <c r="A65" t="s">
        <v>138</v>
      </c>
      <c r="B65">
        <v>480.7</v>
      </c>
      <c r="C65">
        <v>2.13</v>
      </c>
      <c r="D65">
        <v>2.21</v>
      </c>
      <c r="E65" s="5">
        <v>1.5602246723528188</v>
      </c>
      <c r="F65" s="5">
        <v>4.4397753276471814</v>
      </c>
    </row>
    <row r="66" spans="1:6" x14ac:dyDescent="0.15">
      <c r="A66" t="s">
        <v>140</v>
      </c>
      <c r="B66">
        <v>332.3</v>
      </c>
      <c r="C66">
        <v>2.16</v>
      </c>
      <c r="D66">
        <v>2.0699999999999998</v>
      </c>
      <c r="E66" s="5">
        <v>2.2569966897381883</v>
      </c>
      <c r="F66" s="5">
        <v>3.7430033102618117</v>
      </c>
    </row>
    <row r="67" spans="1:6" x14ac:dyDescent="0.15">
      <c r="A67" t="s">
        <v>142</v>
      </c>
      <c r="B67">
        <v>277.2</v>
      </c>
      <c r="C67">
        <v>2.1800000000000002</v>
      </c>
      <c r="D67">
        <v>2.16</v>
      </c>
      <c r="E67" s="5">
        <v>2.7056277056277058</v>
      </c>
      <c r="F67" s="5">
        <v>3.2943722943722942</v>
      </c>
    </row>
    <row r="68" spans="1:6" x14ac:dyDescent="0.15">
      <c r="A68" t="s">
        <v>144</v>
      </c>
      <c r="B68">
        <v>95.6</v>
      </c>
      <c r="C68">
        <v>2.2200000000000002</v>
      </c>
      <c r="D68">
        <v>1.38</v>
      </c>
      <c r="E68" s="5">
        <v>6</v>
      </c>
      <c r="F68" s="5">
        <v>0</v>
      </c>
    </row>
    <row r="69" spans="1:6" x14ac:dyDescent="0.15">
      <c r="A69" t="s">
        <v>146</v>
      </c>
      <c r="B69">
        <v>307.8</v>
      </c>
      <c r="C69">
        <v>2.17</v>
      </c>
      <c r="D69">
        <v>2.31</v>
      </c>
      <c r="E69" s="5">
        <v>2.4366471734892787</v>
      </c>
      <c r="F69" s="5">
        <v>3.5633528265107213</v>
      </c>
    </row>
    <row r="70" spans="1:6" x14ac:dyDescent="0.15">
      <c r="A70" t="s">
        <v>148</v>
      </c>
      <c r="B70">
        <v>315.5</v>
      </c>
      <c r="C70">
        <v>2.17</v>
      </c>
      <c r="D70">
        <v>1.83</v>
      </c>
      <c r="E70" s="5">
        <v>2.3771790808240887</v>
      </c>
      <c r="F70" s="5">
        <v>3.6228209191759113</v>
      </c>
    </row>
    <row r="71" spans="1:6" x14ac:dyDescent="0.15">
      <c r="A71" t="s">
        <v>150</v>
      </c>
      <c r="B71">
        <v>169.3</v>
      </c>
      <c r="C71">
        <v>2.17</v>
      </c>
      <c r="D71">
        <v>2.27</v>
      </c>
      <c r="E71" s="5">
        <v>4.4300059066745421</v>
      </c>
      <c r="F71" s="5">
        <v>1.5699940933254579</v>
      </c>
    </row>
    <row r="72" spans="1:6" x14ac:dyDescent="0.15">
      <c r="A72" t="s">
        <v>152</v>
      </c>
      <c r="B72">
        <v>207.3</v>
      </c>
      <c r="C72">
        <v>2.16</v>
      </c>
      <c r="D72">
        <v>1.63</v>
      </c>
      <c r="E72" s="5">
        <v>3.6179450072358899</v>
      </c>
      <c r="F72" s="5">
        <v>2.3820549927641101</v>
      </c>
    </row>
    <row r="73" spans="1:6" x14ac:dyDescent="0.15">
      <c r="A73" t="s">
        <v>154</v>
      </c>
      <c r="B73">
        <v>299.89999999999998</v>
      </c>
      <c r="C73">
        <v>2.17</v>
      </c>
      <c r="D73">
        <v>1.73</v>
      </c>
      <c r="E73" s="5">
        <v>2.5008336112037348</v>
      </c>
      <c r="F73" s="5">
        <v>3.4991663887962652</v>
      </c>
    </row>
    <row r="74" spans="1:6" x14ac:dyDescent="0.15">
      <c r="A74" t="s">
        <v>156</v>
      </c>
      <c r="B74">
        <v>362.4</v>
      </c>
      <c r="C74">
        <v>2.17</v>
      </c>
      <c r="D74">
        <v>2.29</v>
      </c>
      <c r="E74" s="5">
        <v>2.0695364238410598</v>
      </c>
      <c r="F74" s="5">
        <v>3.9304635761589402</v>
      </c>
    </row>
    <row r="75" spans="1:6" x14ac:dyDescent="0.15">
      <c r="A75" t="s">
        <v>158</v>
      </c>
      <c r="B75">
        <v>246.7</v>
      </c>
      <c r="C75">
        <v>2.15</v>
      </c>
      <c r="D75">
        <v>2.23</v>
      </c>
      <c r="E75" s="5">
        <v>3.040129712201054</v>
      </c>
      <c r="F75" s="5">
        <v>2.959870287798946</v>
      </c>
    </row>
    <row r="76" spans="1:6" x14ac:dyDescent="0.15">
      <c r="A76" t="s">
        <v>160</v>
      </c>
      <c r="B76">
        <v>268</v>
      </c>
      <c r="C76">
        <v>2.16</v>
      </c>
      <c r="D76">
        <v>2.27</v>
      </c>
      <c r="E76" s="5">
        <v>2.7985074626865671</v>
      </c>
      <c r="F76" s="5">
        <v>3.2014925373134329</v>
      </c>
    </row>
    <row r="77" spans="1:6" x14ac:dyDescent="0.15">
      <c r="A77" t="s">
        <v>162</v>
      </c>
      <c r="B77">
        <v>83.2</v>
      </c>
      <c r="C77">
        <v>2.17</v>
      </c>
      <c r="D77">
        <v>1.1299999999999999</v>
      </c>
      <c r="E77" s="5">
        <v>6</v>
      </c>
      <c r="F77" s="5">
        <v>0</v>
      </c>
    </row>
    <row r="78" spans="1:6" x14ac:dyDescent="0.15">
      <c r="A78" t="s">
        <v>164</v>
      </c>
      <c r="B78">
        <v>241</v>
      </c>
      <c r="C78">
        <v>2.17</v>
      </c>
      <c r="D78">
        <v>2.04</v>
      </c>
      <c r="E78" s="5">
        <v>3.1120331950207469</v>
      </c>
      <c r="F78" s="5">
        <v>2.8879668049792531</v>
      </c>
    </row>
    <row r="79" spans="1:6" x14ac:dyDescent="0.15">
      <c r="A79" t="s">
        <v>166</v>
      </c>
      <c r="B79">
        <v>199.7</v>
      </c>
      <c r="C79">
        <v>2.15</v>
      </c>
      <c r="D79">
        <v>2.0499999999999998</v>
      </c>
      <c r="E79" s="5">
        <v>3.7556334501752633</v>
      </c>
      <c r="F79" s="5">
        <v>2.2443665498247367</v>
      </c>
    </row>
    <row r="80" spans="1:6" x14ac:dyDescent="0.15">
      <c r="A80" t="s">
        <v>168</v>
      </c>
      <c r="B80">
        <v>204</v>
      </c>
      <c r="C80">
        <v>2.17</v>
      </c>
      <c r="D80">
        <v>2.1</v>
      </c>
      <c r="E80" s="5">
        <v>3.6764705882352939</v>
      </c>
      <c r="F80" s="5">
        <v>2.3235294117647061</v>
      </c>
    </row>
    <row r="81" spans="1:6" x14ac:dyDescent="0.15">
      <c r="A81" t="s">
        <v>170</v>
      </c>
      <c r="B81">
        <v>220.9</v>
      </c>
      <c r="C81">
        <v>2.16</v>
      </c>
      <c r="D81">
        <v>2.19</v>
      </c>
      <c r="E81" s="5">
        <v>3.3952014486192845</v>
      </c>
      <c r="F81" s="5">
        <v>2.6047985513807155</v>
      </c>
    </row>
    <row r="82" spans="1:6" x14ac:dyDescent="0.15">
      <c r="A82" t="s">
        <v>172</v>
      </c>
      <c r="B82">
        <v>241.8</v>
      </c>
      <c r="C82">
        <v>2.17</v>
      </c>
      <c r="D82">
        <v>2.33</v>
      </c>
      <c r="E82" s="5">
        <v>3.1017369727047144</v>
      </c>
      <c r="F82" s="5">
        <v>2.8982630272952856</v>
      </c>
    </row>
    <row r="83" spans="1:6" x14ac:dyDescent="0.15">
      <c r="A83" t="s">
        <v>174</v>
      </c>
      <c r="B83">
        <v>190.9</v>
      </c>
      <c r="C83">
        <v>2.15</v>
      </c>
      <c r="D83">
        <v>2.27</v>
      </c>
      <c r="E83" s="5">
        <v>3.9287585123101101</v>
      </c>
      <c r="F83" s="5">
        <v>2.0712414876898899</v>
      </c>
    </row>
    <row r="84" spans="1:6" x14ac:dyDescent="0.15">
      <c r="A84" t="s">
        <v>176</v>
      </c>
      <c r="B84">
        <v>228</v>
      </c>
      <c r="C84">
        <v>2.15</v>
      </c>
      <c r="D84">
        <v>2.31</v>
      </c>
      <c r="E84" s="5">
        <v>3.2894736842105261</v>
      </c>
      <c r="F84" s="5">
        <v>2.7105263157894739</v>
      </c>
    </row>
    <row r="85" spans="1:6" x14ac:dyDescent="0.15">
      <c r="A85" t="s">
        <v>178</v>
      </c>
      <c r="B85">
        <v>75.3</v>
      </c>
      <c r="C85">
        <v>2.15</v>
      </c>
      <c r="D85">
        <v>2.33</v>
      </c>
      <c r="E85" s="5">
        <v>6</v>
      </c>
      <c r="F85" s="5">
        <v>0</v>
      </c>
    </row>
    <row r="86" spans="1:6" x14ac:dyDescent="0.15">
      <c r="A86" t="s">
        <v>180</v>
      </c>
      <c r="B86">
        <v>131.80000000000001</v>
      </c>
      <c r="C86">
        <v>2.14</v>
      </c>
      <c r="D86">
        <v>2.09</v>
      </c>
      <c r="E86" s="5">
        <v>5.6904400606980268</v>
      </c>
      <c r="F86" s="5">
        <v>0.30955993930197323</v>
      </c>
    </row>
    <row r="87" spans="1:6" x14ac:dyDescent="0.15">
      <c r="A87" t="s">
        <v>182</v>
      </c>
      <c r="B87">
        <v>260</v>
      </c>
      <c r="C87">
        <v>2.13</v>
      </c>
      <c r="D87">
        <v>2.0499999999999998</v>
      </c>
      <c r="E87" s="5">
        <v>2.8846153846153846</v>
      </c>
      <c r="F87" s="5">
        <v>3.1153846153846154</v>
      </c>
    </row>
    <row r="88" spans="1:6" x14ac:dyDescent="0.15">
      <c r="A88" t="s">
        <v>184</v>
      </c>
      <c r="B88">
        <v>367.1</v>
      </c>
      <c r="C88">
        <v>2.16</v>
      </c>
      <c r="D88">
        <v>1.24</v>
      </c>
      <c r="E88" s="5">
        <v>2.0430400435848539</v>
      </c>
      <c r="F88" s="5">
        <v>3.9569599564151461</v>
      </c>
    </row>
    <row r="89" spans="1:6" x14ac:dyDescent="0.15">
      <c r="A89" t="s">
        <v>186</v>
      </c>
      <c r="B89">
        <v>167.2</v>
      </c>
      <c r="C89">
        <v>2.16</v>
      </c>
      <c r="D89">
        <v>1.2</v>
      </c>
      <c r="E89" s="5">
        <v>4.4856459330143545</v>
      </c>
      <c r="F89" s="5">
        <v>1.5143540669856455</v>
      </c>
    </row>
    <row r="90" spans="1:6" x14ac:dyDescent="0.15">
      <c r="A90" t="s">
        <v>188</v>
      </c>
      <c r="B90">
        <v>114.5</v>
      </c>
      <c r="C90">
        <v>2.13</v>
      </c>
      <c r="D90">
        <v>1.53</v>
      </c>
      <c r="E90" s="5">
        <v>6</v>
      </c>
      <c r="F90" s="5">
        <v>0</v>
      </c>
    </row>
    <row r="91" spans="1:6" x14ac:dyDescent="0.15">
      <c r="A91" t="s">
        <v>190</v>
      </c>
      <c r="B91">
        <v>233.2</v>
      </c>
      <c r="C91">
        <v>2.14</v>
      </c>
      <c r="D91">
        <v>1.1000000000000001</v>
      </c>
      <c r="E91" s="5">
        <v>3.2161234991423671</v>
      </c>
      <c r="F91" s="5">
        <v>2.7838765008576329</v>
      </c>
    </row>
    <row r="92" spans="1:6" x14ac:dyDescent="0.15">
      <c r="A92" t="s">
        <v>192</v>
      </c>
      <c r="B92">
        <v>122.1</v>
      </c>
      <c r="C92">
        <v>2.13</v>
      </c>
      <c r="D92">
        <v>2.2400000000000002</v>
      </c>
      <c r="E92" s="5">
        <v>6</v>
      </c>
      <c r="F92" s="5">
        <v>0</v>
      </c>
    </row>
    <row r="93" spans="1:6" x14ac:dyDescent="0.15">
      <c r="A93" t="s">
        <v>194</v>
      </c>
      <c r="B93">
        <v>249.4</v>
      </c>
      <c r="C93">
        <v>2.15</v>
      </c>
      <c r="D93">
        <v>1.99</v>
      </c>
      <c r="E93" s="5">
        <v>3.0072173215717721</v>
      </c>
      <c r="F93" s="5">
        <v>2.9927826784282279</v>
      </c>
    </row>
    <row r="94" spans="1:6" x14ac:dyDescent="0.15">
      <c r="A94" t="s">
        <v>196</v>
      </c>
      <c r="B94">
        <v>102.2</v>
      </c>
      <c r="C94">
        <v>2.13</v>
      </c>
      <c r="D94">
        <v>2.04</v>
      </c>
      <c r="E94" s="5">
        <v>6</v>
      </c>
      <c r="F94" s="5">
        <v>0</v>
      </c>
    </row>
    <row r="95" spans="1:6" x14ac:dyDescent="0.15">
      <c r="A95" t="s">
        <v>198</v>
      </c>
      <c r="B95">
        <v>200.7</v>
      </c>
      <c r="C95">
        <v>2.15</v>
      </c>
      <c r="D95">
        <v>0.76</v>
      </c>
      <c r="E95" s="5">
        <v>3.7369207772795221</v>
      </c>
      <c r="F95" s="5">
        <v>2.2630792227204779</v>
      </c>
    </row>
    <row r="96" spans="1:6" x14ac:dyDescent="0.15">
      <c r="A96" t="s">
        <v>200</v>
      </c>
      <c r="B96">
        <v>197.1</v>
      </c>
      <c r="C96">
        <v>2.15</v>
      </c>
      <c r="D96">
        <v>1.08</v>
      </c>
      <c r="E96" s="5">
        <v>3.8051750380517504</v>
      </c>
      <c r="F96" s="5">
        <v>2.1948249619482496</v>
      </c>
    </row>
    <row r="97" spans="1:6" x14ac:dyDescent="0.15">
      <c r="A97" t="s">
        <v>202</v>
      </c>
      <c r="B97">
        <v>75.7</v>
      </c>
      <c r="C97">
        <v>2.12</v>
      </c>
      <c r="D97">
        <v>0.52</v>
      </c>
      <c r="E97" s="5">
        <v>6</v>
      </c>
      <c r="F97" s="5">
        <v>0</v>
      </c>
    </row>
    <row r="98" spans="1:6" x14ac:dyDescent="0.15">
      <c r="A98" t="s">
        <v>204</v>
      </c>
      <c r="B98">
        <v>496.6</v>
      </c>
      <c r="C98">
        <v>2.16</v>
      </c>
      <c r="D98">
        <v>2.31</v>
      </c>
      <c r="E98" s="5">
        <v>1.5102698348771646</v>
      </c>
      <c r="F98" s="5">
        <v>4.4897301651228352</v>
      </c>
    </row>
    <row r="99" spans="1:6" x14ac:dyDescent="0.15">
      <c r="A99" t="s">
        <v>206</v>
      </c>
      <c r="B99">
        <v>198.7</v>
      </c>
      <c r="C99">
        <v>2.15</v>
      </c>
      <c r="D99">
        <v>1.95</v>
      </c>
      <c r="E99" s="5">
        <v>3.7745344740815301</v>
      </c>
      <c r="F99" s="5">
        <v>2.2254655259184699</v>
      </c>
    </row>
    <row r="100" spans="1:6" x14ac:dyDescent="0.15">
      <c r="A100" t="s">
        <v>208</v>
      </c>
      <c r="B100">
        <v>220.2</v>
      </c>
      <c r="C100">
        <v>2.15</v>
      </c>
      <c r="D100">
        <v>2.23</v>
      </c>
      <c r="E100" s="5">
        <v>3.4059945504087197</v>
      </c>
      <c r="F100" s="5">
        <v>2.5940054495912803</v>
      </c>
    </row>
    <row r="101" spans="1:6" x14ac:dyDescent="0.15">
      <c r="A101" t="s">
        <v>210</v>
      </c>
      <c r="B101">
        <v>239.6</v>
      </c>
      <c r="C101">
        <v>2.14</v>
      </c>
      <c r="D101">
        <v>2.0499999999999998</v>
      </c>
      <c r="E101" s="5">
        <v>3.1302170283806343</v>
      </c>
      <c r="F101" s="5">
        <v>2.8697829716193657</v>
      </c>
    </row>
    <row r="102" spans="1:6" x14ac:dyDescent="0.15">
      <c r="A102" t="s">
        <v>212</v>
      </c>
      <c r="B102">
        <v>163.9</v>
      </c>
      <c r="C102">
        <v>2.13</v>
      </c>
      <c r="D102">
        <v>1.91</v>
      </c>
      <c r="E102" s="5">
        <v>4.5759609517998774</v>
      </c>
      <c r="F102" s="5">
        <v>1.4240390482001226</v>
      </c>
    </row>
    <row r="103" spans="1:6" x14ac:dyDescent="0.15">
      <c r="A103" t="s">
        <v>214</v>
      </c>
      <c r="B103">
        <v>234.9</v>
      </c>
      <c r="C103">
        <v>2.17</v>
      </c>
      <c r="D103">
        <v>1.67</v>
      </c>
      <c r="E103" s="5">
        <v>3.1928480204342273</v>
      </c>
      <c r="F103" s="5">
        <v>2.8071519795657727</v>
      </c>
    </row>
    <row r="104" spans="1:6" x14ac:dyDescent="0.15">
      <c r="A104" t="s">
        <v>216</v>
      </c>
      <c r="B104">
        <v>252.8</v>
      </c>
      <c r="C104">
        <v>2.16</v>
      </c>
      <c r="D104">
        <v>2.06</v>
      </c>
      <c r="E104" s="5">
        <v>2.9667721518987342</v>
      </c>
      <c r="F104" s="5">
        <v>3.0332278481012658</v>
      </c>
    </row>
    <row r="105" spans="1:6" x14ac:dyDescent="0.15">
      <c r="A105" t="s">
        <v>218</v>
      </c>
      <c r="B105">
        <v>380.3</v>
      </c>
      <c r="C105">
        <v>2.15</v>
      </c>
      <c r="D105">
        <v>2.17</v>
      </c>
      <c r="E105" s="5">
        <v>1.9721272679463582</v>
      </c>
      <c r="F105" s="5">
        <v>4.027872732053642</v>
      </c>
    </row>
    <row r="106" spans="1:6" x14ac:dyDescent="0.15">
      <c r="A106" t="s">
        <v>220</v>
      </c>
      <c r="B106">
        <v>500</v>
      </c>
      <c r="C106">
        <v>2.0699999999999998</v>
      </c>
      <c r="D106">
        <v>2.14</v>
      </c>
      <c r="E106" s="5">
        <v>1.5</v>
      </c>
      <c r="F106" s="5">
        <v>4.5</v>
      </c>
    </row>
    <row r="107" spans="1:6" x14ac:dyDescent="0.15">
      <c r="A107" t="s">
        <v>222</v>
      </c>
      <c r="B107">
        <v>165.1</v>
      </c>
      <c r="C107">
        <v>2.11</v>
      </c>
      <c r="D107">
        <v>1.9</v>
      </c>
      <c r="E107" s="5">
        <v>4.5427013930950944</v>
      </c>
      <c r="F107" s="5">
        <v>1.4572986069049056</v>
      </c>
    </row>
    <row r="108" spans="1:6" x14ac:dyDescent="0.15">
      <c r="A108" t="s">
        <v>224</v>
      </c>
      <c r="B108">
        <v>204.9</v>
      </c>
      <c r="C108">
        <v>2.15</v>
      </c>
      <c r="D108">
        <v>2.2000000000000002</v>
      </c>
      <c r="E108" s="5">
        <v>3.6603221083455342</v>
      </c>
      <c r="F108" s="5">
        <v>2.3396778916544658</v>
      </c>
    </row>
    <row r="109" spans="1:6" x14ac:dyDescent="0.15">
      <c r="A109" t="s">
        <v>226</v>
      </c>
      <c r="B109">
        <v>152.69999999999999</v>
      </c>
      <c r="C109">
        <v>2.16</v>
      </c>
      <c r="D109">
        <v>1.97</v>
      </c>
      <c r="E109" s="5">
        <v>4.9115913555992146</v>
      </c>
      <c r="F109" s="5">
        <v>1.0884086444007854</v>
      </c>
    </row>
    <row r="110" spans="1:6" x14ac:dyDescent="0.15">
      <c r="A110" t="s">
        <v>228</v>
      </c>
      <c r="B110">
        <v>411.5</v>
      </c>
      <c r="C110">
        <v>2.15</v>
      </c>
      <c r="D110">
        <v>2.14</v>
      </c>
      <c r="E110" s="5">
        <v>1.8226002430133657</v>
      </c>
      <c r="F110" s="5">
        <v>4.1773997569866346</v>
      </c>
    </row>
    <row r="111" spans="1:6" x14ac:dyDescent="0.15">
      <c r="A111" t="s">
        <v>230</v>
      </c>
      <c r="B111">
        <v>809.7</v>
      </c>
      <c r="C111">
        <v>2.14</v>
      </c>
      <c r="D111">
        <v>2.2000000000000002</v>
      </c>
      <c r="E111" s="5">
        <v>0.92626898851426454</v>
      </c>
      <c r="F111" s="5">
        <v>5.0737310114857355</v>
      </c>
    </row>
    <row r="112" spans="1:6" x14ac:dyDescent="0.15">
      <c r="A112" t="s">
        <v>232</v>
      </c>
      <c r="B112">
        <v>270.2</v>
      </c>
      <c r="C112">
        <v>2.15</v>
      </c>
      <c r="D112">
        <v>1.02</v>
      </c>
      <c r="E112" s="5">
        <v>2.7757216876387862</v>
      </c>
      <c r="F112" s="5">
        <v>3.2242783123612138</v>
      </c>
    </row>
    <row r="113" spans="1:6" x14ac:dyDescent="0.15">
      <c r="A113" t="s">
        <v>234</v>
      </c>
      <c r="B113">
        <v>827</v>
      </c>
      <c r="C113">
        <v>2.14</v>
      </c>
      <c r="D113">
        <v>2.38</v>
      </c>
      <c r="E113" s="5">
        <v>0.90689238210399037</v>
      </c>
      <c r="F113" s="5">
        <v>5.0931076178960097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65"/>
  <sheetViews>
    <sheetView topLeftCell="H5" workbookViewId="0">
      <selection activeCell="V26" sqref="V26"/>
    </sheetView>
  </sheetViews>
  <sheetFormatPr baseColWidth="10" defaultRowHeight="13" x14ac:dyDescent="0.15"/>
  <sheetData>
    <row r="1" spans="1:20" ht="17" thickBot="1" x14ac:dyDescent="0.2">
      <c r="B1" s="11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</row>
    <row r="2" spans="1:20" x14ac:dyDescent="0.15">
      <c r="B2" t="s">
        <v>9</v>
      </c>
      <c r="C2" t="s">
        <v>16</v>
      </c>
      <c r="D2" t="s">
        <v>18</v>
      </c>
      <c r="E2" t="s">
        <v>20</v>
      </c>
      <c r="F2" t="s">
        <v>22</v>
      </c>
      <c r="G2" t="s">
        <v>24</v>
      </c>
      <c r="H2" t="s">
        <v>26</v>
      </c>
      <c r="I2" t="s">
        <v>28</v>
      </c>
      <c r="K2" s="15" t="s">
        <v>241</v>
      </c>
    </row>
    <row r="3" spans="1:20" x14ac:dyDescent="0.15">
      <c r="A3">
        <v>1</v>
      </c>
      <c r="B3">
        <f>VLOOKUP(B2, RNA!$B$2:$K$113, 9, FALSE)</f>
        <v>6</v>
      </c>
      <c r="C3" s="14">
        <f>VLOOKUP(C2, RNA!$B$2:$K$113, 9, FALSE)</f>
        <v>2.2071806945261918</v>
      </c>
      <c r="D3" s="14">
        <f>VLOOKUP(D2, RNA!$B$2:$K$113, 9, FALSE)</f>
        <v>2.1150592216582065</v>
      </c>
      <c r="E3" s="14">
        <f>VLOOKUP(E2, RNA!$B$2:$K$113, 9, FALSE)</f>
        <v>4.714016341923319</v>
      </c>
      <c r="F3" s="14">
        <f>VLOOKUP(F2, RNA!$B$2:$K$113, 9, FALSE)</f>
        <v>2.1324992891669039</v>
      </c>
      <c r="G3" s="14">
        <f>VLOOKUP(G2, RNA!$B$2:$K$113, 9, FALSE)</f>
        <v>2.329192546583851</v>
      </c>
      <c r="H3" s="14">
        <f>VLOOKUP(H2, RNA!$B$2:$K$113, 9, FALSE)</f>
        <v>5.7121096725057114</v>
      </c>
      <c r="I3" s="14">
        <f>VLOOKUP(I2, RNA!$B$2:$K$113, 9, FALSE)</f>
        <v>5.9523809523809526</v>
      </c>
    </row>
    <row r="4" spans="1:20" x14ac:dyDescent="0.15">
      <c r="B4">
        <f>VLOOKUP(B2, RNA!$B$2:$K$113, 10, FALSE)</f>
        <v>0</v>
      </c>
      <c r="C4" s="14">
        <f>VLOOKUP(C2, RNA!$B$2:$K$113, 10, FALSE)</f>
        <v>3.7928193054738082</v>
      </c>
      <c r="D4" s="14">
        <f>VLOOKUP(D2, RNA!$B$2:$K$113, 10, FALSE)</f>
        <v>3.8849407783417935</v>
      </c>
      <c r="E4" s="14">
        <f>VLOOKUP(E2, RNA!$B$2:$K$113, 10, FALSE)</f>
        <v>1.285983658076681</v>
      </c>
      <c r="F4" s="14">
        <f>VLOOKUP(F2, RNA!$B$2:$K$113, 10, FALSE)</f>
        <v>3.8675007108330961</v>
      </c>
      <c r="G4" s="14">
        <f>VLOOKUP(G2, RNA!$B$2:$K$113, 10, FALSE)</f>
        <v>3.670807453416149</v>
      </c>
      <c r="H4" s="14">
        <f>VLOOKUP(H2, RNA!$B$2:$K$113, 10, FALSE)</f>
        <v>0.28789032749428856</v>
      </c>
      <c r="I4" s="14">
        <f>VLOOKUP(I2, RNA!$B$2:$K$113, 10, FALSE)</f>
        <v>4.761904761904745E-2</v>
      </c>
    </row>
    <row r="6" spans="1:20" x14ac:dyDescent="0.15">
      <c r="B6" t="s">
        <v>30</v>
      </c>
      <c r="C6" t="s">
        <v>32</v>
      </c>
      <c r="D6" t="s">
        <v>34</v>
      </c>
      <c r="E6" t="s">
        <v>36</v>
      </c>
      <c r="F6" t="s">
        <v>38</v>
      </c>
      <c r="G6" t="s">
        <v>40</v>
      </c>
      <c r="H6" t="s">
        <v>42</v>
      </c>
      <c r="I6" t="s">
        <v>44</v>
      </c>
    </row>
    <row r="7" spans="1:20" x14ac:dyDescent="0.15">
      <c r="A7">
        <v>2</v>
      </c>
      <c r="B7" s="14">
        <f>VLOOKUP(B6, RNA!$B$2:$K$113, 9, FALSE)</f>
        <v>6</v>
      </c>
      <c r="C7" s="14">
        <f>VLOOKUP(C6, RNA!$B$2:$K$113, 9, FALSE)</f>
        <v>1.6070280694236125</v>
      </c>
      <c r="D7" s="14">
        <f>VLOOKUP(D6, RNA!$B$2:$K$113, 9, FALSE)</f>
        <v>1.9122896481387048</v>
      </c>
      <c r="E7" s="14">
        <f>VLOOKUP(E6, RNA!$B$2:$K$113, 9, FALSE)</f>
        <v>1.740139211136891</v>
      </c>
      <c r="F7" s="14">
        <f>VLOOKUP(F6, RNA!$B$2:$K$113, 9, FALSE)</f>
        <v>2.2275022275022276</v>
      </c>
      <c r="G7" s="14">
        <f>VLOOKUP(G6, RNA!$B$2:$K$113, 9, FALSE)</f>
        <v>1.9836022216344882</v>
      </c>
      <c r="H7" s="14">
        <f>VLOOKUP(H6, RNA!$B$2:$K$113, 9, FALSE)</f>
        <v>1.0917030567685591</v>
      </c>
      <c r="I7" s="14">
        <f>VLOOKUP(I6, RNA!$B$2:$K$113, 9, FALSE)</f>
        <v>2.9457973291437551</v>
      </c>
    </row>
    <row r="8" spans="1:20" x14ac:dyDescent="0.15">
      <c r="B8" s="14">
        <f>VLOOKUP(B6, RNA!$B$2:$K$113, 10, FALSE)</f>
        <v>0</v>
      </c>
      <c r="C8" s="14">
        <f>VLOOKUP(C6, RNA!$B$2:$K$113, 10, FALSE)</f>
        <v>4.3929719305763877</v>
      </c>
      <c r="D8" s="14">
        <f>VLOOKUP(D6, RNA!$B$2:$K$113, 10, FALSE)</f>
        <v>4.0877103518612952</v>
      </c>
      <c r="E8" s="14">
        <f>VLOOKUP(E6, RNA!$B$2:$K$113, 10, FALSE)</f>
        <v>4.2598607888631088</v>
      </c>
      <c r="F8" s="14">
        <f>VLOOKUP(F6, RNA!$B$2:$K$113, 10, FALSE)</f>
        <v>3.7724977724977724</v>
      </c>
      <c r="G8" s="14">
        <f>VLOOKUP(G6, RNA!$B$2:$K$113, 10, FALSE)</f>
        <v>4.016397778365512</v>
      </c>
      <c r="H8" s="14">
        <f>VLOOKUP(H6, RNA!$B$2:$K$113, 10, FALSE)</f>
        <v>4.9082969432314414</v>
      </c>
      <c r="I8" s="14">
        <f>VLOOKUP(I6, RNA!$B$2:$K$113, 10, FALSE)</f>
        <v>3.0542026708562449</v>
      </c>
    </row>
    <row r="9" spans="1:20" x14ac:dyDescent="0.15">
      <c r="L9" s="15" t="s">
        <v>240</v>
      </c>
    </row>
    <row r="10" spans="1:20" ht="14" thickBot="1" x14ac:dyDescent="0.2">
      <c r="B10" t="s">
        <v>46</v>
      </c>
      <c r="C10" t="s">
        <v>48</v>
      </c>
      <c r="D10" t="s">
        <v>50</v>
      </c>
      <c r="E10" t="s">
        <v>52</v>
      </c>
      <c r="F10" t="s">
        <v>54</v>
      </c>
      <c r="G10" t="s">
        <v>56</v>
      </c>
      <c r="H10" t="s">
        <v>58</v>
      </c>
      <c r="I10" t="s">
        <v>60</v>
      </c>
    </row>
    <row r="11" spans="1:20" ht="14" thickBot="1" x14ac:dyDescent="0.2">
      <c r="A11">
        <v>3</v>
      </c>
      <c r="B11" s="14">
        <f>VLOOKUP(B10, RNA!$B$2:$K$113, 9, FALSE)</f>
        <v>3.3557046979865772</v>
      </c>
      <c r="C11" s="14">
        <f>VLOOKUP(C10, RNA!$B$2:$K$113, 9, FALSE)</f>
        <v>4.1713014460511673</v>
      </c>
      <c r="D11" s="14">
        <f>VLOOKUP(D10, RNA!$B$2:$K$113, 9, FALSE)</f>
        <v>2.926258291065158</v>
      </c>
      <c r="E11" s="14">
        <f>VLOOKUP(E10, RNA!$B$2:$K$113, 9, FALSE)</f>
        <v>2.4453863710466255</v>
      </c>
      <c r="F11" s="14">
        <f>VLOOKUP(F10, RNA!$B$2:$K$113, 9, FALSE)</f>
        <v>1.114247511513891</v>
      </c>
      <c r="G11" s="14">
        <f>VLOOKUP(G10, RNA!$B$2:$K$113, 9, FALSE)</f>
        <v>1.7755681818181819</v>
      </c>
      <c r="H11" s="14">
        <f>VLOOKUP(H10, RNA!$B$2:$K$113, 9, FALSE)</f>
        <v>1.7780938833570412</v>
      </c>
      <c r="I11" s="14">
        <f>VLOOKUP(I10, RNA!$B$2:$K$113, 9, FALSE)</f>
        <v>2.685284640171858</v>
      </c>
      <c r="L11" s="16">
        <v>1</v>
      </c>
      <c r="M11" s="18" t="s">
        <v>9</v>
      </c>
      <c r="N11" s="18" t="s">
        <v>16</v>
      </c>
      <c r="O11" s="18" t="s">
        <v>18</v>
      </c>
      <c r="P11" s="18" t="s">
        <v>20</v>
      </c>
      <c r="Q11" s="18" t="s">
        <v>22</v>
      </c>
      <c r="R11" s="18" t="s">
        <v>24</v>
      </c>
      <c r="S11" s="18" t="s">
        <v>26</v>
      </c>
      <c r="T11" s="17" t="s">
        <v>28</v>
      </c>
    </row>
    <row r="12" spans="1:20" ht="14" thickBot="1" x14ac:dyDescent="0.2">
      <c r="B12" s="14">
        <f>VLOOKUP(B10, RNA!$B$2:$K$113, 10, FALSE)</f>
        <v>2.6442953020134228</v>
      </c>
      <c r="C12" s="14">
        <f>VLOOKUP(C10, RNA!$B$2:$K$113, 10, FALSE)</f>
        <v>1.8286985539488327</v>
      </c>
      <c r="D12" s="14">
        <f>VLOOKUP(D10, RNA!$B$2:$K$113, 10, FALSE)</f>
        <v>3.073741708934842</v>
      </c>
      <c r="E12" s="14">
        <f>VLOOKUP(E10, RNA!$B$2:$K$113, 10, FALSE)</f>
        <v>3.5546136289533745</v>
      </c>
      <c r="F12" s="14">
        <f>VLOOKUP(F10, RNA!$B$2:$K$113, 10, FALSE)</f>
        <v>4.8857524884861085</v>
      </c>
      <c r="G12" s="14">
        <f>VLOOKUP(G10, RNA!$B$2:$K$113, 10, FALSE)</f>
        <v>4.2244318181818183</v>
      </c>
      <c r="H12" s="14">
        <f>VLOOKUP(H10, RNA!$B$2:$K$113, 10, FALSE)</f>
        <v>4.221906116642959</v>
      </c>
      <c r="I12" s="14">
        <f>VLOOKUP(I10, RNA!$B$2:$K$113, 10, FALSE)</f>
        <v>3.314715359828142</v>
      </c>
    </row>
    <row r="13" spans="1:20" ht="14" thickBot="1" x14ac:dyDescent="0.2">
      <c r="L13" s="16">
        <v>2</v>
      </c>
      <c r="M13" s="18" t="s">
        <v>30</v>
      </c>
      <c r="N13" s="18" t="s">
        <v>32</v>
      </c>
      <c r="O13" s="18" t="s">
        <v>34</v>
      </c>
      <c r="P13" s="18" t="s">
        <v>36</v>
      </c>
      <c r="Q13" s="18" t="s">
        <v>38</v>
      </c>
      <c r="R13" s="18" t="s">
        <v>40</v>
      </c>
      <c r="S13" s="18" t="s">
        <v>42</v>
      </c>
      <c r="T13" s="17" t="s">
        <v>44</v>
      </c>
    </row>
    <row r="14" spans="1:20" ht="14" thickBot="1" x14ac:dyDescent="0.2">
      <c r="B14" t="s">
        <v>62</v>
      </c>
      <c r="C14" t="s">
        <v>64</v>
      </c>
      <c r="D14" t="s">
        <v>66</v>
      </c>
      <c r="E14" t="s">
        <v>68</v>
      </c>
      <c r="F14" t="s">
        <v>70</v>
      </c>
      <c r="G14" t="s">
        <v>72</v>
      </c>
      <c r="H14" t="s">
        <v>74</v>
      </c>
      <c r="I14" t="s">
        <v>76</v>
      </c>
    </row>
    <row r="15" spans="1:20" ht="14" thickBot="1" x14ac:dyDescent="0.2">
      <c r="A15">
        <v>4</v>
      </c>
      <c r="B15" s="14">
        <f>VLOOKUP(B14, RNA!$B$2:$K$113, 9, FALSE)</f>
        <v>2.8625954198473282</v>
      </c>
      <c r="C15" s="14">
        <f>VLOOKUP(C14, RNA!$B$2:$K$113, 9, FALSE)</f>
        <v>1.9059720457433291</v>
      </c>
      <c r="D15" s="14">
        <f>VLOOKUP(D14, RNA!$B$2:$K$113, 9, FALSE)</f>
        <v>2.0604395604395602</v>
      </c>
      <c r="E15" s="14">
        <f>VLOOKUP(E14, RNA!$B$2:$K$113, 9, FALSE)</f>
        <v>1.9147306612203217</v>
      </c>
      <c r="F15" s="14">
        <f>VLOOKUP(F14, RNA!$B$2:$K$113, 9, FALSE)</f>
        <v>2.9400235201881615</v>
      </c>
      <c r="G15" s="14">
        <f>VLOOKUP(G14, RNA!$B$2:$K$113, 9, FALSE)</f>
        <v>2.7912169705991814</v>
      </c>
      <c r="H15" s="14">
        <f>VLOOKUP(H14, RNA!$B$2:$K$113, 9, FALSE)</f>
        <v>3.5561877667140824</v>
      </c>
      <c r="I15" s="14">
        <f>VLOOKUP(I14, RNA!$B$2:$K$113, 9, FALSE)</f>
        <v>5.1405071967100753</v>
      </c>
      <c r="L15" s="16">
        <v>3</v>
      </c>
      <c r="M15" s="18" t="s">
        <v>46</v>
      </c>
      <c r="N15" s="18" t="s">
        <v>48</v>
      </c>
      <c r="O15" s="18" t="s">
        <v>50</v>
      </c>
      <c r="P15" s="18" t="s">
        <v>52</v>
      </c>
      <c r="Q15" s="18" t="s">
        <v>54</v>
      </c>
      <c r="R15" s="18" t="s">
        <v>56</v>
      </c>
      <c r="S15" s="18" t="s">
        <v>58</v>
      </c>
      <c r="T15" s="17" t="s">
        <v>60</v>
      </c>
    </row>
    <row r="16" spans="1:20" ht="14" thickBot="1" x14ac:dyDescent="0.2">
      <c r="B16" s="14">
        <f>VLOOKUP(B14, RNA!$B$2:$K$113, 10, FALSE)</f>
        <v>3.1374045801526718</v>
      </c>
      <c r="C16" s="14">
        <f>VLOOKUP(C14, RNA!$B$2:$K$113, 10, FALSE)</f>
        <v>4.0940279542566707</v>
      </c>
      <c r="D16" s="14">
        <f>VLOOKUP(D14, RNA!$B$2:$K$113, 10, FALSE)</f>
        <v>3.9395604395604398</v>
      </c>
      <c r="E16" s="14">
        <f>VLOOKUP(E14, RNA!$B$2:$K$113, 10, FALSE)</f>
        <v>4.0852693387796783</v>
      </c>
      <c r="F16" s="14">
        <f>VLOOKUP(F14, RNA!$B$2:$K$113, 10, FALSE)</f>
        <v>3.0599764798118385</v>
      </c>
      <c r="G16" s="14">
        <f>VLOOKUP(G14, RNA!$B$2:$K$113, 10, FALSE)</f>
        <v>3.2087830294008186</v>
      </c>
      <c r="H16" s="14">
        <f>VLOOKUP(H14, RNA!$B$2:$K$113, 10, FALSE)</f>
        <v>2.4438122332859176</v>
      </c>
      <c r="I16" s="14">
        <f>VLOOKUP(I14, RNA!$B$2:$K$113, 10, FALSE)</f>
        <v>0.85949280328992472</v>
      </c>
    </row>
    <row r="17" spans="1:20" ht="14" thickBot="1" x14ac:dyDescent="0.2">
      <c r="L17" s="16">
        <v>4</v>
      </c>
      <c r="M17" s="18" t="s">
        <v>62</v>
      </c>
      <c r="N17" s="18" t="s">
        <v>64</v>
      </c>
      <c r="O17" s="18" t="s">
        <v>66</v>
      </c>
      <c r="P17" s="18" t="s">
        <v>68</v>
      </c>
      <c r="Q17" s="18" t="s">
        <v>70</v>
      </c>
      <c r="R17" s="18" t="s">
        <v>72</v>
      </c>
      <c r="S17" s="18" t="s">
        <v>74</v>
      </c>
      <c r="T17" s="17" t="s">
        <v>76</v>
      </c>
    </row>
    <row r="19" spans="1:20" ht="14" thickBot="1" x14ac:dyDescent="0.2"/>
    <row r="20" spans="1:20" ht="17" thickBot="1" x14ac:dyDescent="0.2">
      <c r="B20" s="11">
        <v>1</v>
      </c>
      <c r="C20" s="12">
        <v>2</v>
      </c>
      <c r="D20" s="12">
        <v>3</v>
      </c>
      <c r="E20" s="12">
        <v>4</v>
      </c>
      <c r="F20" s="12">
        <v>5</v>
      </c>
      <c r="G20" s="12">
        <v>6</v>
      </c>
      <c r="H20" s="12">
        <v>7</v>
      </c>
      <c r="I20" s="12">
        <v>8</v>
      </c>
      <c r="L20" s="16">
        <v>5</v>
      </c>
      <c r="M20" s="18" t="s">
        <v>78</v>
      </c>
      <c r="N20" s="18" t="s">
        <v>80</v>
      </c>
      <c r="O20" s="18" t="s">
        <v>82</v>
      </c>
      <c r="P20" s="18" t="s">
        <v>84</v>
      </c>
      <c r="Q20" s="18" t="s">
        <v>86</v>
      </c>
      <c r="R20" s="18" t="s">
        <v>88</v>
      </c>
      <c r="S20" s="18" t="s">
        <v>90</v>
      </c>
      <c r="T20" s="17" t="s">
        <v>92</v>
      </c>
    </row>
    <row r="21" spans="1:20" ht="14" thickBot="1" x14ac:dyDescent="0.2">
      <c r="B21" t="s">
        <v>78</v>
      </c>
      <c r="C21" t="s">
        <v>80</v>
      </c>
      <c r="D21" t="s">
        <v>82</v>
      </c>
      <c r="E21" t="s">
        <v>84</v>
      </c>
      <c r="F21" t="s">
        <v>86</v>
      </c>
      <c r="G21" t="s">
        <v>88</v>
      </c>
      <c r="H21" t="s">
        <v>90</v>
      </c>
      <c r="I21" t="s">
        <v>92</v>
      </c>
    </row>
    <row r="22" spans="1:20" ht="14" thickBot="1" x14ac:dyDescent="0.2">
      <c r="A22">
        <v>5</v>
      </c>
      <c r="B22" s="14">
        <f>VLOOKUP(B21, RNA!$B$2:$K$113, 9, FALSE)</f>
        <v>2.6661926768574475</v>
      </c>
      <c r="C22" s="14">
        <f>VLOOKUP(C21, RNA!$B$2:$K$113, 9, FALSE)</f>
        <v>2.5397900440230274</v>
      </c>
      <c r="D22" s="14">
        <f>VLOOKUP(D21, RNA!$B$2:$K$113, 9, FALSE)</f>
        <v>2.8174305033809168</v>
      </c>
      <c r="E22" s="14">
        <f>VLOOKUP(E21, RNA!$B$2:$K$113, 9, FALSE)</f>
        <v>6</v>
      </c>
      <c r="F22" s="14">
        <f>VLOOKUP(F21, RNA!$B$2:$K$113, 9, FALSE)</f>
        <v>3.6179450072358899</v>
      </c>
      <c r="G22" s="14">
        <f>VLOOKUP(G21, RNA!$B$2:$K$113, 9, FALSE)</f>
        <v>4.5676004872107185</v>
      </c>
      <c r="H22" s="14">
        <f>VLOOKUP(H21, RNA!$B$2:$K$113, 9, FALSE)</f>
        <v>6</v>
      </c>
      <c r="I22" s="14">
        <f>VLOOKUP(I21, RNA!$B$2:$K$113, 9, FALSE)</f>
        <v>2.5235531628532977</v>
      </c>
      <c r="L22" s="16">
        <v>6</v>
      </c>
      <c r="M22" s="18" t="s">
        <v>94</v>
      </c>
      <c r="N22" s="18" t="s">
        <v>96</v>
      </c>
      <c r="O22" s="18" t="s">
        <v>98</v>
      </c>
      <c r="P22" s="18" t="s">
        <v>100</v>
      </c>
      <c r="Q22" s="18" t="s">
        <v>102</v>
      </c>
      <c r="R22" s="18" t="s">
        <v>104</v>
      </c>
      <c r="S22" s="18" t="s">
        <v>106</v>
      </c>
      <c r="T22" s="17" t="s">
        <v>108</v>
      </c>
    </row>
    <row r="23" spans="1:20" ht="14" thickBot="1" x14ac:dyDescent="0.2">
      <c r="B23" s="14">
        <f>VLOOKUP(B21, RNA!$B$2:$K$113, 10, FALSE)</f>
        <v>3.3338073231425525</v>
      </c>
      <c r="C23" s="14">
        <f>VLOOKUP(C21, RNA!$B$2:$K$113, 10, FALSE)</f>
        <v>3.4602099559769726</v>
      </c>
      <c r="D23" s="14">
        <f>VLOOKUP(D21, RNA!$B$2:$K$113, 10, FALSE)</f>
        <v>3.1825694966190832</v>
      </c>
      <c r="E23" s="14">
        <f>VLOOKUP(E21, RNA!$B$2:$K$113, 10, FALSE)</f>
        <v>0</v>
      </c>
      <c r="F23" s="14">
        <f>VLOOKUP(F21, RNA!$B$2:$K$113, 10, FALSE)</f>
        <v>2.3820549927641101</v>
      </c>
      <c r="G23" s="14">
        <f>VLOOKUP(G21, RNA!$B$2:$K$113, 10, FALSE)</f>
        <v>1.4323995127892815</v>
      </c>
      <c r="H23" s="14">
        <f>VLOOKUP(H21, RNA!$B$2:$K$113, 10, FALSE)</f>
        <v>0</v>
      </c>
      <c r="I23" s="14">
        <f>VLOOKUP(I21, RNA!$B$2:$K$113, 10, FALSE)</f>
        <v>3.4764468371467023</v>
      </c>
    </row>
    <row r="24" spans="1:20" ht="14" thickBot="1" x14ac:dyDescent="0.2">
      <c r="L24" s="16">
        <v>7</v>
      </c>
      <c r="M24" s="18" t="s">
        <v>110</v>
      </c>
      <c r="N24" s="18" t="s">
        <v>112</v>
      </c>
      <c r="O24" s="18" t="s">
        <v>114</v>
      </c>
      <c r="P24" s="18" t="s">
        <v>116</v>
      </c>
      <c r="Q24" s="18" t="s">
        <v>118</v>
      </c>
      <c r="R24" s="18" t="s">
        <v>120</v>
      </c>
      <c r="S24" s="18" t="s">
        <v>122</v>
      </c>
      <c r="T24" s="17" t="s">
        <v>124</v>
      </c>
    </row>
    <row r="25" spans="1:20" ht="14" thickBot="1" x14ac:dyDescent="0.2">
      <c r="B25" t="s">
        <v>94</v>
      </c>
      <c r="C25" t="s">
        <v>96</v>
      </c>
      <c r="D25" t="s">
        <v>98</v>
      </c>
      <c r="E25" t="s">
        <v>100</v>
      </c>
      <c r="F25" t="s">
        <v>102</v>
      </c>
      <c r="G25" t="s">
        <v>104</v>
      </c>
      <c r="H25" t="s">
        <v>106</v>
      </c>
      <c r="I25" t="s">
        <v>108</v>
      </c>
    </row>
    <row r="26" spans="1:20" ht="14" thickBot="1" x14ac:dyDescent="0.2">
      <c r="A26">
        <v>6</v>
      </c>
      <c r="B26" s="14">
        <f>VLOOKUP(B25, RNA!$B$2:$K$113, 9, FALSE)</f>
        <v>3.3244680851063833</v>
      </c>
      <c r="C26" s="14">
        <f>VLOOKUP(C25, RNA!$B$2:$K$113, 9, FALSE)</f>
        <v>1.9799366420274551</v>
      </c>
      <c r="D26" s="14">
        <f>VLOOKUP(D25, RNA!$B$2:$K$113, 9, FALSE)</f>
        <v>3.8799793067770305</v>
      </c>
      <c r="E26" s="14">
        <f>VLOOKUP(E25, RNA!$B$2:$K$113, 9, FALSE)</f>
        <v>1.2838069154399177</v>
      </c>
      <c r="F26" s="14">
        <f>VLOOKUP(F25, RNA!$B$2:$K$113, 9, FALSE)</f>
        <v>2.9952076677316293</v>
      </c>
      <c r="G26" s="14">
        <f>VLOOKUP(G25, RNA!$B$2:$K$113, 9, FALSE)</f>
        <v>4.6012269938650308</v>
      </c>
      <c r="H26" s="14">
        <f>VLOOKUP(H25, RNA!$B$2:$K$113, 9, FALSE)</f>
        <v>1.5977844056242012</v>
      </c>
      <c r="I26" s="14">
        <f>VLOOKUP(I25, RNA!$B$2:$K$113, 9, FALSE)</f>
        <v>1.6741071428571428</v>
      </c>
      <c r="L26" s="16">
        <v>8</v>
      </c>
      <c r="M26" s="18" t="s">
        <v>126</v>
      </c>
      <c r="N26" s="18" t="s">
        <v>128</v>
      </c>
      <c r="O26" s="18" t="s">
        <v>130</v>
      </c>
      <c r="P26" s="18" t="s">
        <v>132</v>
      </c>
      <c r="Q26" s="18" t="s">
        <v>134</v>
      </c>
      <c r="R26" s="18" t="s">
        <v>136</v>
      </c>
      <c r="S26" s="18" t="s">
        <v>138</v>
      </c>
      <c r="T26" s="17" t="s">
        <v>140</v>
      </c>
    </row>
    <row r="27" spans="1:20" x14ac:dyDescent="0.15">
      <c r="B27" s="14">
        <f>VLOOKUP(B25, RNA!$B$2:$K$113, 10, FALSE)</f>
        <v>2.6755319148936167</v>
      </c>
      <c r="C27" s="14">
        <f>VLOOKUP(C25, RNA!$B$2:$K$113, 10, FALSE)</f>
        <v>4.0200633579725444</v>
      </c>
      <c r="D27" s="14">
        <f>VLOOKUP(D25, RNA!$B$2:$K$113, 10, FALSE)</f>
        <v>2.1200206932229695</v>
      </c>
      <c r="E27" s="14">
        <f>VLOOKUP(E25, RNA!$B$2:$K$113, 10, FALSE)</f>
        <v>4.7161930845600821</v>
      </c>
      <c r="F27" s="14">
        <f>VLOOKUP(F25, RNA!$B$2:$K$113, 10, FALSE)</f>
        <v>3.0047923322683707</v>
      </c>
      <c r="G27" s="14">
        <f>VLOOKUP(G25, RNA!$B$2:$K$113, 10, FALSE)</f>
        <v>1.3987730061349692</v>
      </c>
      <c r="H27" s="14">
        <f>VLOOKUP(H25, RNA!$B$2:$K$113, 10, FALSE)</f>
        <v>4.4022155943757983</v>
      </c>
      <c r="I27" s="14">
        <f>VLOOKUP(I25, RNA!$B$2:$K$113, 10, FALSE)</f>
        <v>4.3258928571428577</v>
      </c>
    </row>
    <row r="28" spans="1:20" ht="14" thickBot="1" x14ac:dyDescent="0.2"/>
    <row r="29" spans="1:20" ht="14" thickBot="1" x14ac:dyDescent="0.2">
      <c r="B29" t="s">
        <v>110</v>
      </c>
      <c r="C29" t="s">
        <v>112</v>
      </c>
      <c r="D29" t="s">
        <v>114</v>
      </c>
      <c r="E29" t="s">
        <v>116</v>
      </c>
      <c r="F29" t="s">
        <v>118</v>
      </c>
      <c r="G29" t="s">
        <v>120</v>
      </c>
      <c r="H29" t="s">
        <v>122</v>
      </c>
      <c r="I29" t="s">
        <v>124</v>
      </c>
      <c r="L29" s="16">
        <v>9</v>
      </c>
      <c r="M29" s="18" t="s">
        <v>142</v>
      </c>
      <c r="N29" s="18" t="s">
        <v>144</v>
      </c>
      <c r="O29" s="18" t="s">
        <v>146</v>
      </c>
      <c r="P29" s="18" t="s">
        <v>148</v>
      </c>
      <c r="Q29" s="18" t="s">
        <v>150</v>
      </c>
      <c r="R29" s="18" t="s">
        <v>152</v>
      </c>
      <c r="S29" s="18" t="s">
        <v>154</v>
      </c>
      <c r="T29" s="17" t="s">
        <v>156</v>
      </c>
    </row>
    <row r="30" spans="1:20" ht="14" thickBot="1" x14ac:dyDescent="0.2">
      <c r="A30">
        <v>7</v>
      </c>
      <c r="B30" s="14">
        <f>VLOOKUP(B29, RNA!$B$2:$K$113, 9, FALSE)</f>
        <v>1.696448767247229</v>
      </c>
      <c r="C30" s="14">
        <f>VLOOKUP(C29, RNA!$B$2:$K$113, 9, FALSE)</f>
        <v>2.2907758094074526</v>
      </c>
      <c r="D30" s="14">
        <f>VLOOKUP(D29, RNA!$B$2:$K$113, 9, FALSE)</f>
        <v>1.7713745866792632</v>
      </c>
      <c r="E30" s="14">
        <f>VLOOKUP(E29, RNA!$B$2:$K$113, 9, FALSE)</f>
        <v>2.0369364475828355</v>
      </c>
      <c r="F30" s="14">
        <f>VLOOKUP(F29, RNA!$B$2:$K$113, 9, FALSE)</f>
        <v>2.5303643724696356</v>
      </c>
      <c r="G30" s="14">
        <f>VLOOKUP(G29, RNA!$B$2:$K$113, 9, FALSE)</f>
        <v>6</v>
      </c>
      <c r="H30" s="14">
        <f>VLOOKUP(H29, RNA!$B$2:$K$113, 9, FALSE)</f>
        <v>1.5822784810126582</v>
      </c>
      <c r="I30" s="14">
        <f>VLOOKUP(I29, RNA!$B$2:$K$113, 9, FALSE)</f>
        <v>1.5940488841657812</v>
      </c>
    </row>
    <row r="31" spans="1:20" ht="14" thickBot="1" x14ac:dyDescent="0.2">
      <c r="B31" s="14">
        <f>VLOOKUP(B29, RNA!$B$2:$K$113, 10, FALSE)</f>
        <v>4.3035512327527705</v>
      </c>
      <c r="C31" s="14">
        <f>VLOOKUP(C29, RNA!$B$2:$K$113, 10, FALSE)</f>
        <v>3.7092241905925474</v>
      </c>
      <c r="D31" s="14">
        <f>VLOOKUP(D29, RNA!$B$2:$K$113, 10, FALSE)</f>
        <v>4.2286254133207368</v>
      </c>
      <c r="E31" s="14">
        <f>VLOOKUP(E29, RNA!$B$2:$K$113, 10, FALSE)</f>
        <v>3.9630635524171645</v>
      </c>
      <c r="F31" s="14">
        <f>VLOOKUP(F29, RNA!$B$2:$K$113, 10, FALSE)</f>
        <v>3.4696356275303644</v>
      </c>
      <c r="G31" s="14">
        <f>VLOOKUP(G29, RNA!$B$2:$K$113, 10, FALSE)</f>
        <v>0</v>
      </c>
      <c r="H31" s="14">
        <f>VLOOKUP(H29, RNA!$B$2:$K$113, 10, FALSE)</f>
        <v>4.4177215189873422</v>
      </c>
      <c r="I31" s="14">
        <f>VLOOKUP(I29, RNA!$B$2:$K$113, 10, FALSE)</f>
        <v>4.4059511158342186</v>
      </c>
      <c r="L31" s="16">
        <v>10</v>
      </c>
      <c r="M31" s="18" t="s">
        <v>158</v>
      </c>
      <c r="N31" s="18" t="s">
        <v>160</v>
      </c>
      <c r="O31" s="18" t="s">
        <v>162</v>
      </c>
      <c r="P31" s="18" t="s">
        <v>164</v>
      </c>
      <c r="Q31" s="18" t="s">
        <v>166</v>
      </c>
      <c r="R31" s="18" t="s">
        <v>168</v>
      </c>
      <c r="S31" s="18" t="s">
        <v>170</v>
      </c>
      <c r="T31" s="17" t="s">
        <v>172</v>
      </c>
    </row>
    <row r="32" spans="1:20" ht="14" thickBot="1" x14ac:dyDescent="0.2"/>
    <row r="33" spans="1:20" ht="14" thickBot="1" x14ac:dyDescent="0.2">
      <c r="B33" t="s">
        <v>126</v>
      </c>
      <c r="C33" t="s">
        <v>128</v>
      </c>
      <c r="D33" t="s">
        <v>130</v>
      </c>
      <c r="E33" t="s">
        <v>132</v>
      </c>
      <c r="F33" t="s">
        <v>134</v>
      </c>
      <c r="G33" t="s">
        <v>136</v>
      </c>
      <c r="H33" t="s">
        <v>138</v>
      </c>
      <c r="I33" t="s">
        <v>140</v>
      </c>
      <c r="L33" s="16">
        <v>11</v>
      </c>
      <c r="M33" s="18" t="s">
        <v>174</v>
      </c>
      <c r="N33" s="18" t="s">
        <v>176</v>
      </c>
      <c r="O33" s="18" t="s">
        <v>178</v>
      </c>
      <c r="P33" s="18" t="s">
        <v>180</v>
      </c>
      <c r="Q33" s="18" t="s">
        <v>182</v>
      </c>
      <c r="R33" s="18" t="s">
        <v>184</v>
      </c>
      <c r="S33" s="18" t="s">
        <v>186</v>
      </c>
      <c r="T33" s="17" t="s">
        <v>188</v>
      </c>
    </row>
    <row r="34" spans="1:20" ht="14" thickBot="1" x14ac:dyDescent="0.2">
      <c r="A34">
        <v>8</v>
      </c>
      <c r="B34" s="14">
        <f>VLOOKUP(B33, RNA!$B$2:$K$113, 9, FALSE)</f>
        <v>2.2858884486437061</v>
      </c>
      <c r="C34" s="14">
        <f>VLOOKUP(C33, RNA!$B$2:$K$113, 9, FALSE)</f>
        <v>3.0364372469635628</v>
      </c>
      <c r="D34" s="14">
        <f>VLOOKUP(D33, RNA!$B$2:$K$113, 9, FALSE)</f>
        <v>2.3938716884774975</v>
      </c>
      <c r="E34" s="14">
        <f>VLOOKUP(E33, RNA!$B$2:$K$113, 9, FALSE)</f>
        <v>2.4334847501622323</v>
      </c>
      <c r="F34" s="14">
        <f>VLOOKUP(F33, RNA!$B$2:$K$113, 9, FALSE)</f>
        <v>1.742565055762082</v>
      </c>
      <c r="G34" s="14">
        <f>VLOOKUP(G33, RNA!$B$2:$K$113, 9, FALSE)</f>
        <v>2.5711347274597189</v>
      </c>
      <c r="H34" s="14">
        <f>VLOOKUP(H33, RNA!$B$2:$K$113, 9, FALSE)</f>
        <v>1.5602246723528188</v>
      </c>
      <c r="I34" s="14">
        <f>VLOOKUP(I33, RNA!$B$2:$K$113, 9, FALSE)</f>
        <v>2.2569966897381883</v>
      </c>
    </row>
    <row r="35" spans="1:20" ht="14" thickBot="1" x14ac:dyDescent="0.2">
      <c r="B35" s="14">
        <f>VLOOKUP(B33, RNA!$B$2:$K$113, 10, FALSE)</f>
        <v>3.7141115513562939</v>
      </c>
      <c r="C35" s="14">
        <f>VLOOKUP(C33, RNA!$B$2:$K$113, 10, FALSE)</f>
        <v>2.9635627530364372</v>
      </c>
      <c r="D35" s="14">
        <f>VLOOKUP(D33, RNA!$B$2:$K$113, 10, FALSE)</f>
        <v>3.6061283115225025</v>
      </c>
      <c r="E35" s="14">
        <f>VLOOKUP(E33, RNA!$B$2:$K$113, 10, FALSE)</f>
        <v>3.5665152498377677</v>
      </c>
      <c r="F35" s="14">
        <f>VLOOKUP(F33, RNA!$B$2:$K$113, 10, FALSE)</f>
        <v>4.257434944237918</v>
      </c>
      <c r="G35" s="14">
        <f>VLOOKUP(G33, RNA!$B$2:$K$113, 10, FALSE)</f>
        <v>3.4288652725402811</v>
      </c>
      <c r="H35" s="14">
        <f>VLOOKUP(H33, RNA!$B$2:$K$113, 10, FALSE)</f>
        <v>4.4397753276471814</v>
      </c>
      <c r="I35" s="14">
        <f>VLOOKUP(I33, RNA!$B$2:$K$113, 10, FALSE)</f>
        <v>3.7430033102618117</v>
      </c>
      <c r="L35" s="16">
        <v>12</v>
      </c>
      <c r="M35" s="18" t="s">
        <v>190</v>
      </c>
      <c r="N35" s="18" t="s">
        <v>192</v>
      </c>
      <c r="O35" s="18" t="s">
        <v>194</v>
      </c>
      <c r="P35" s="18" t="s">
        <v>196</v>
      </c>
      <c r="Q35" s="18" t="s">
        <v>198</v>
      </c>
      <c r="R35" s="18" t="s">
        <v>200</v>
      </c>
      <c r="S35" s="18" t="s">
        <v>202</v>
      </c>
      <c r="T35" s="17" t="s">
        <v>204</v>
      </c>
    </row>
    <row r="37" spans="1:20" ht="14" thickBot="1" x14ac:dyDescent="0.2"/>
    <row r="38" spans="1:20" ht="17" thickBot="1" x14ac:dyDescent="0.2">
      <c r="B38" s="11">
        <v>1</v>
      </c>
      <c r="C38" s="12">
        <v>2</v>
      </c>
      <c r="D38" s="12">
        <v>3</v>
      </c>
      <c r="E38" s="12">
        <v>4</v>
      </c>
      <c r="F38" s="12">
        <v>5</v>
      </c>
      <c r="G38" s="12">
        <v>6</v>
      </c>
      <c r="H38" s="12">
        <v>7</v>
      </c>
      <c r="I38" s="12">
        <v>8</v>
      </c>
      <c r="L38" s="16">
        <v>13</v>
      </c>
      <c r="M38" s="18" t="s">
        <v>206</v>
      </c>
      <c r="N38" s="18" t="s">
        <v>208</v>
      </c>
      <c r="O38" s="18" t="s">
        <v>210</v>
      </c>
      <c r="P38" s="18" t="s">
        <v>212</v>
      </c>
      <c r="Q38" s="18" t="s">
        <v>214</v>
      </c>
      <c r="R38" s="18" t="s">
        <v>216</v>
      </c>
      <c r="S38" s="18" t="s">
        <v>218</v>
      </c>
      <c r="T38" s="17" t="s">
        <v>220</v>
      </c>
    </row>
    <row r="39" spans="1:20" ht="14" thickBot="1" x14ac:dyDescent="0.2"/>
    <row r="40" spans="1:20" ht="14" thickBot="1" x14ac:dyDescent="0.2">
      <c r="B40" t="s">
        <v>142</v>
      </c>
      <c r="C40" t="s">
        <v>144</v>
      </c>
      <c r="D40" t="s">
        <v>146</v>
      </c>
      <c r="E40" t="s">
        <v>148</v>
      </c>
      <c r="F40" t="s">
        <v>150</v>
      </c>
      <c r="G40" t="s">
        <v>152</v>
      </c>
      <c r="H40" t="s">
        <v>154</v>
      </c>
      <c r="I40" t="s">
        <v>156</v>
      </c>
      <c r="L40" s="16">
        <v>14</v>
      </c>
      <c r="M40" s="18" t="s">
        <v>222</v>
      </c>
      <c r="N40" s="18" t="s">
        <v>224</v>
      </c>
      <c r="O40" s="18" t="s">
        <v>226</v>
      </c>
      <c r="P40" s="18" t="s">
        <v>228</v>
      </c>
      <c r="Q40" s="18" t="s">
        <v>230</v>
      </c>
      <c r="R40" s="18" t="s">
        <v>232</v>
      </c>
      <c r="S40" s="19" t="s">
        <v>234</v>
      </c>
      <c r="T40" s="17"/>
    </row>
    <row r="41" spans="1:20" x14ac:dyDescent="0.15">
      <c r="A41">
        <v>9</v>
      </c>
      <c r="B41" s="14">
        <f>VLOOKUP(B40, RNA!$B$2:$K$113, 9, FALSE)</f>
        <v>2.7056277056277058</v>
      </c>
      <c r="C41" s="14">
        <f>VLOOKUP(C40, RNA!$B$2:$K$113, 9, FALSE)</f>
        <v>6</v>
      </c>
      <c r="D41" s="14">
        <f>VLOOKUP(D40, RNA!$B$2:$K$113, 9, FALSE)</f>
        <v>2.4366471734892787</v>
      </c>
      <c r="E41" s="14">
        <f>VLOOKUP(E40, RNA!$B$2:$K$113, 9, FALSE)</f>
        <v>2.3771790808240887</v>
      </c>
      <c r="F41" s="14">
        <f>VLOOKUP(F40, RNA!$B$2:$K$113, 9, FALSE)</f>
        <v>4.4300059066745421</v>
      </c>
      <c r="G41" s="14">
        <f>VLOOKUP(G40, RNA!$B$2:$K$113, 9, FALSE)</f>
        <v>3.6179450072358899</v>
      </c>
      <c r="H41" s="14">
        <f>VLOOKUP(H40, RNA!$B$2:$K$113, 9, FALSE)</f>
        <v>2.5008336112037348</v>
      </c>
      <c r="I41" s="14">
        <f>VLOOKUP(I40, RNA!$B$2:$K$113, 9, FALSE)</f>
        <v>2.0695364238410598</v>
      </c>
    </row>
    <row r="42" spans="1:20" x14ac:dyDescent="0.15">
      <c r="B42" s="14">
        <f>VLOOKUP(B40, RNA!$B$2:$K$113, 10, FALSE)</f>
        <v>3.2943722943722942</v>
      </c>
      <c r="C42" s="14">
        <f>VLOOKUP(C40, RNA!$B$2:$K$113, 10, FALSE)</f>
        <v>0</v>
      </c>
      <c r="D42" s="14">
        <f>VLOOKUP(D40, RNA!$B$2:$K$113, 10, FALSE)</f>
        <v>3.5633528265107213</v>
      </c>
      <c r="E42" s="14">
        <f>VLOOKUP(E40, RNA!$B$2:$K$113, 10, FALSE)</f>
        <v>3.6228209191759113</v>
      </c>
      <c r="F42" s="14">
        <f>VLOOKUP(F40, RNA!$B$2:$K$113, 10, FALSE)</f>
        <v>1.5699940933254579</v>
      </c>
      <c r="G42" s="14">
        <f>VLOOKUP(G40, RNA!$B$2:$K$113, 10, FALSE)</f>
        <v>2.3820549927641101</v>
      </c>
      <c r="H42" s="14">
        <f>VLOOKUP(H40, RNA!$B$2:$K$113, 10, FALSE)</f>
        <v>3.4991663887962652</v>
      </c>
      <c r="I42" s="14">
        <f>VLOOKUP(I40, RNA!$B$2:$K$113, 10, FALSE)</f>
        <v>3.9304635761589402</v>
      </c>
    </row>
    <row r="44" spans="1:20" x14ac:dyDescent="0.15">
      <c r="B44" t="s">
        <v>158</v>
      </c>
      <c r="C44" t="s">
        <v>160</v>
      </c>
      <c r="D44" t="s">
        <v>162</v>
      </c>
      <c r="E44" t="s">
        <v>164</v>
      </c>
      <c r="F44" t="s">
        <v>166</v>
      </c>
      <c r="G44" t="s">
        <v>168</v>
      </c>
      <c r="H44" t="s">
        <v>170</v>
      </c>
      <c r="I44" t="s">
        <v>172</v>
      </c>
    </row>
    <row r="45" spans="1:20" x14ac:dyDescent="0.15">
      <c r="A45">
        <v>10</v>
      </c>
      <c r="B45" s="14">
        <f>VLOOKUP(B44, RNA!$B$2:$K$113, 9, FALSE)</f>
        <v>3.040129712201054</v>
      </c>
      <c r="C45" s="14">
        <f>VLOOKUP(C44, RNA!$B$2:$K$113, 9, FALSE)</f>
        <v>2.7985074626865671</v>
      </c>
      <c r="D45" s="14">
        <f>VLOOKUP(D44, RNA!$B$2:$K$113, 9, FALSE)</f>
        <v>6</v>
      </c>
      <c r="E45" s="14">
        <f>VLOOKUP(E44, RNA!$B$2:$K$113, 9, FALSE)</f>
        <v>3.1120331950207469</v>
      </c>
      <c r="F45" s="14">
        <f>VLOOKUP(F44, RNA!$B$2:$K$113, 9, FALSE)</f>
        <v>3.7556334501752633</v>
      </c>
      <c r="G45" s="14">
        <f>VLOOKUP(G44, RNA!$B$2:$K$113, 9, FALSE)</f>
        <v>3.6764705882352939</v>
      </c>
      <c r="H45" s="14">
        <f>VLOOKUP(H44, RNA!$B$2:$K$113, 9, FALSE)</f>
        <v>3.3952014486192845</v>
      </c>
      <c r="I45" s="14">
        <f>VLOOKUP(I44, RNA!$B$2:$K$113, 9, FALSE)</f>
        <v>3.1017369727047144</v>
      </c>
    </row>
    <row r="46" spans="1:20" x14ac:dyDescent="0.15">
      <c r="B46" s="14">
        <f>VLOOKUP(B44, RNA!$B$2:$K$113, 10, FALSE)</f>
        <v>2.959870287798946</v>
      </c>
      <c r="C46" s="14">
        <f>VLOOKUP(C44, RNA!$B$2:$K$113, 10, FALSE)</f>
        <v>3.2014925373134329</v>
      </c>
      <c r="D46" s="14">
        <f>VLOOKUP(D44, RNA!$B$2:$K$113, 10, FALSE)</f>
        <v>0</v>
      </c>
      <c r="E46" s="14">
        <f>VLOOKUP(E44, RNA!$B$2:$K$113, 10, FALSE)</f>
        <v>2.8879668049792531</v>
      </c>
      <c r="F46" s="14">
        <f>VLOOKUP(F44, RNA!$B$2:$K$113, 10, FALSE)</f>
        <v>2.2443665498247367</v>
      </c>
      <c r="G46" s="14">
        <f>VLOOKUP(G44, RNA!$B$2:$K$113, 10, FALSE)</f>
        <v>2.3235294117647061</v>
      </c>
      <c r="H46" s="14">
        <f>VLOOKUP(H44, RNA!$B$2:$K$113, 10, FALSE)</f>
        <v>2.6047985513807155</v>
      </c>
      <c r="I46" s="14">
        <f>VLOOKUP(I44, RNA!$B$2:$K$113, 10, FALSE)</f>
        <v>2.8982630272952856</v>
      </c>
    </row>
    <row r="48" spans="1:20" x14ac:dyDescent="0.15">
      <c r="B48" t="s">
        <v>174</v>
      </c>
      <c r="C48" t="s">
        <v>176</v>
      </c>
      <c r="D48" t="s">
        <v>178</v>
      </c>
      <c r="E48" t="s">
        <v>180</v>
      </c>
      <c r="F48" t="s">
        <v>182</v>
      </c>
      <c r="G48" t="s">
        <v>184</v>
      </c>
      <c r="H48" t="s">
        <v>186</v>
      </c>
      <c r="I48" t="s">
        <v>188</v>
      </c>
    </row>
    <row r="49" spans="1:9" x14ac:dyDescent="0.15">
      <c r="A49">
        <v>11</v>
      </c>
      <c r="B49" s="14">
        <f>VLOOKUP(B48, RNA!$B$2:$K$113, 9, FALSE)</f>
        <v>3.9287585123101101</v>
      </c>
      <c r="C49" s="14">
        <f>VLOOKUP(C48, RNA!$B$2:$K$113, 9, FALSE)</f>
        <v>3.2894736842105261</v>
      </c>
      <c r="D49" s="14">
        <f>VLOOKUP(D48, RNA!$B$2:$K$113, 9, FALSE)</f>
        <v>6</v>
      </c>
      <c r="E49" s="14">
        <f>VLOOKUP(E48, RNA!$B$2:$K$113, 9, FALSE)</f>
        <v>5.6904400606980268</v>
      </c>
      <c r="F49" s="14">
        <f>VLOOKUP(F48, RNA!$B$2:$K$113, 9, FALSE)</f>
        <v>2.8846153846153846</v>
      </c>
      <c r="G49" s="14">
        <f>VLOOKUP(G48, RNA!$B$2:$K$113, 9, FALSE)</f>
        <v>2.0430400435848539</v>
      </c>
      <c r="H49" s="14">
        <f>VLOOKUP(H48, RNA!$B$2:$K$113, 9, FALSE)</f>
        <v>4.4856459330143545</v>
      </c>
      <c r="I49" s="14">
        <f>VLOOKUP(I48, RNA!$B$2:$K$113, 9, FALSE)</f>
        <v>6</v>
      </c>
    </row>
    <row r="50" spans="1:9" x14ac:dyDescent="0.15">
      <c r="B50" s="14">
        <f>VLOOKUP(B48, RNA!$B$2:$K$113, 10, FALSE)</f>
        <v>2.0712414876898899</v>
      </c>
      <c r="C50" s="14">
        <f>VLOOKUP(C48, RNA!$B$2:$K$113, 10, FALSE)</f>
        <v>2.7105263157894739</v>
      </c>
      <c r="D50" s="14">
        <f>VLOOKUP(D48, RNA!$B$2:$K$113, 10, FALSE)</f>
        <v>0</v>
      </c>
      <c r="E50" s="14">
        <f>VLOOKUP(E48, RNA!$B$2:$K$113, 10, FALSE)</f>
        <v>0.30955993930197323</v>
      </c>
      <c r="F50" s="14">
        <f>VLOOKUP(F48, RNA!$B$2:$K$113, 10, FALSE)</f>
        <v>3.1153846153846154</v>
      </c>
      <c r="G50" s="14">
        <f>VLOOKUP(G48, RNA!$B$2:$K$113, 10, FALSE)</f>
        <v>3.9569599564151461</v>
      </c>
      <c r="H50" s="14">
        <f>VLOOKUP(H48, RNA!$B$2:$K$113, 10, FALSE)</f>
        <v>1.5143540669856455</v>
      </c>
      <c r="I50" s="14">
        <f>VLOOKUP(I48, RNA!$B$2:$K$113, 10, FALSE)</f>
        <v>0</v>
      </c>
    </row>
    <row r="52" spans="1:9" x14ac:dyDescent="0.15">
      <c r="B52" t="s">
        <v>190</v>
      </c>
      <c r="C52" t="s">
        <v>192</v>
      </c>
      <c r="D52" t="s">
        <v>194</v>
      </c>
      <c r="E52" t="s">
        <v>196</v>
      </c>
      <c r="F52" t="s">
        <v>198</v>
      </c>
      <c r="G52" t="s">
        <v>200</v>
      </c>
      <c r="H52" t="s">
        <v>202</v>
      </c>
      <c r="I52" t="s">
        <v>204</v>
      </c>
    </row>
    <row r="53" spans="1:9" x14ac:dyDescent="0.15">
      <c r="A53">
        <v>12</v>
      </c>
      <c r="B53" s="14">
        <f>VLOOKUP(B52, RNA!$B$2:$K$113, 9, FALSE)</f>
        <v>3.2161234991423671</v>
      </c>
      <c r="C53" s="14">
        <f>VLOOKUP(C52, RNA!$B$2:$K$113, 9, FALSE)</f>
        <v>6</v>
      </c>
      <c r="D53" s="14">
        <f>VLOOKUP(D52, RNA!$B$2:$K$113, 9, FALSE)</f>
        <v>3.0072173215717721</v>
      </c>
      <c r="E53" s="14">
        <f>VLOOKUP(E52, RNA!$B$2:$K$113, 9, FALSE)</f>
        <v>6</v>
      </c>
      <c r="F53" s="14">
        <f>VLOOKUP(F52, RNA!$B$2:$K$113, 9, FALSE)</f>
        <v>3.7369207772795221</v>
      </c>
      <c r="G53" s="14">
        <f>VLOOKUP(G52, RNA!$B$2:$K$113, 9, FALSE)</f>
        <v>3.8051750380517504</v>
      </c>
      <c r="H53" s="14">
        <f>VLOOKUP(H52, RNA!$B$2:$K$113, 9, FALSE)</f>
        <v>6</v>
      </c>
      <c r="I53" s="14">
        <f>VLOOKUP(I52, RNA!$B$2:$K$113, 9, FALSE)</f>
        <v>1.5102698348771646</v>
      </c>
    </row>
    <row r="54" spans="1:9" x14ac:dyDescent="0.15">
      <c r="B54" s="14">
        <f>VLOOKUP(B52, RNA!$B$2:$K$113, 10, FALSE)</f>
        <v>2.7838765008576329</v>
      </c>
      <c r="C54" s="14">
        <f>VLOOKUP(C52, RNA!$B$2:$K$113, 10, FALSE)</f>
        <v>0</v>
      </c>
      <c r="D54" s="14">
        <f>VLOOKUP(D52, RNA!$B$2:$K$113, 10, FALSE)</f>
        <v>2.9927826784282279</v>
      </c>
      <c r="E54" s="14">
        <f>VLOOKUP(E52, RNA!$B$2:$K$113, 10, FALSE)</f>
        <v>0</v>
      </c>
      <c r="F54" s="14">
        <f>VLOOKUP(F52, RNA!$B$2:$K$113, 10, FALSE)</f>
        <v>2.2630792227204779</v>
      </c>
      <c r="G54" s="14">
        <f>VLOOKUP(G52, RNA!$B$2:$K$113, 10, FALSE)</f>
        <v>2.1948249619482496</v>
      </c>
      <c r="H54" s="14">
        <f>VLOOKUP(H52, RNA!$B$2:$K$113, 10, FALSE)</f>
        <v>0</v>
      </c>
      <c r="I54" s="14">
        <f>VLOOKUP(I52, RNA!$B$2:$K$113, 10, FALSE)</f>
        <v>4.4897301651228352</v>
      </c>
    </row>
    <row r="56" spans="1:9" ht="14" thickBot="1" x14ac:dyDescent="0.2"/>
    <row r="57" spans="1:9" ht="17" thickBot="1" x14ac:dyDescent="0.2">
      <c r="B57" s="11">
        <v>1</v>
      </c>
      <c r="C57" s="12">
        <v>2</v>
      </c>
      <c r="D57" s="12">
        <v>3</v>
      </c>
      <c r="E57" s="12">
        <v>4</v>
      </c>
      <c r="F57" s="12">
        <v>5</v>
      </c>
      <c r="G57" s="12">
        <v>6</v>
      </c>
      <c r="H57" s="12">
        <v>7</v>
      </c>
      <c r="I57" s="12">
        <v>8</v>
      </c>
    </row>
    <row r="59" spans="1:9" x14ac:dyDescent="0.15">
      <c r="B59" t="s">
        <v>206</v>
      </c>
      <c r="C59" t="s">
        <v>208</v>
      </c>
      <c r="D59" t="s">
        <v>210</v>
      </c>
      <c r="E59" t="s">
        <v>212</v>
      </c>
      <c r="F59" t="s">
        <v>214</v>
      </c>
      <c r="G59" t="s">
        <v>216</v>
      </c>
      <c r="H59" t="s">
        <v>218</v>
      </c>
      <c r="I59" t="s">
        <v>220</v>
      </c>
    </row>
    <row r="60" spans="1:9" x14ac:dyDescent="0.15">
      <c r="A60">
        <v>13</v>
      </c>
      <c r="B60" s="14">
        <f>VLOOKUP(B59, RNA!$B$2:$K$113, 9, FALSE)</f>
        <v>3.7745344740815301</v>
      </c>
      <c r="C60" s="14">
        <f>VLOOKUP(C59, RNA!$B$2:$K$113, 9, FALSE)</f>
        <v>3.4059945504087197</v>
      </c>
      <c r="D60" s="14">
        <f>VLOOKUP(D59, RNA!$B$2:$K$113, 9, FALSE)</f>
        <v>3.1302170283806343</v>
      </c>
      <c r="E60" s="14">
        <f>VLOOKUP(E59, RNA!$B$2:$K$113, 9, FALSE)</f>
        <v>4.5759609517998774</v>
      </c>
      <c r="F60" s="14">
        <f>VLOOKUP(F59, RNA!$B$2:$K$113, 9, FALSE)</f>
        <v>3.1928480204342273</v>
      </c>
      <c r="G60" s="14">
        <f>VLOOKUP(G59, RNA!$B$2:$K$113, 9, FALSE)</f>
        <v>2.9667721518987342</v>
      </c>
      <c r="H60" s="14">
        <f>VLOOKUP(H59, RNA!$B$2:$K$113, 9, FALSE)</f>
        <v>1.9721272679463582</v>
      </c>
      <c r="I60" s="14">
        <f>VLOOKUP(I59, RNA!$B$2:$K$113, 9, FALSE)</f>
        <v>1.5</v>
      </c>
    </row>
    <row r="61" spans="1:9" x14ac:dyDescent="0.15">
      <c r="B61" s="14">
        <f>VLOOKUP(B59, RNA!$B$2:$K$113, 10, FALSE)</f>
        <v>2.2254655259184699</v>
      </c>
      <c r="C61" s="14">
        <f>VLOOKUP(C59, RNA!$B$2:$K$113, 10, FALSE)</f>
        <v>2.5940054495912803</v>
      </c>
      <c r="D61" s="14">
        <f>VLOOKUP(D59, RNA!$B$2:$K$113, 10, FALSE)</f>
        <v>2.8697829716193657</v>
      </c>
      <c r="E61" s="14">
        <f>VLOOKUP(E59, RNA!$B$2:$K$113, 10, FALSE)</f>
        <v>1.4240390482001226</v>
      </c>
      <c r="F61" s="14">
        <f>VLOOKUP(F59, RNA!$B$2:$K$113, 10, FALSE)</f>
        <v>2.8071519795657727</v>
      </c>
      <c r="G61" s="14">
        <f>VLOOKUP(G59, RNA!$B$2:$K$113, 10, FALSE)</f>
        <v>3.0332278481012658</v>
      </c>
      <c r="H61" s="14">
        <f>VLOOKUP(H59, RNA!$B$2:$K$113, 10, FALSE)</f>
        <v>4.027872732053642</v>
      </c>
      <c r="I61" s="14">
        <f>VLOOKUP(I59, RNA!$B$2:$K$113, 10, FALSE)</f>
        <v>4.5</v>
      </c>
    </row>
    <row r="63" spans="1:9" x14ac:dyDescent="0.15">
      <c r="B63" t="s">
        <v>222</v>
      </c>
      <c r="C63" t="s">
        <v>224</v>
      </c>
      <c r="D63" t="s">
        <v>226</v>
      </c>
      <c r="E63" t="s">
        <v>228</v>
      </c>
      <c r="F63" t="s">
        <v>230</v>
      </c>
      <c r="G63" t="s">
        <v>232</v>
      </c>
      <c r="H63" s="15" t="s">
        <v>234</v>
      </c>
    </row>
    <row r="64" spans="1:9" x14ac:dyDescent="0.15">
      <c r="A64">
        <v>14</v>
      </c>
      <c r="B64" s="14">
        <f>VLOOKUP(B63, RNA!$B$2:$K$113, 9, FALSE)</f>
        <v>4.5427013930950944</v>
      </c>
      <c r="C64" s="14">
        <f>VLOOKUP(C63, RNA!$B$2:$K$113, 9, FALSE)</f>
        <v>3.6603221083455342</v>
      </c>
      <c r="D64" s="14">
        <f>VLOOKUP(D63, RNA!$B$2:$K$113, 9, FALSE)</f>
        <v>4.9115913555992146</v>
      </c>
      <c r="E64" s="14">
        <f>VLOOKUP(E63, RNA!$B$2:$K$113, 9, FALSE)</f>
        <v>1.8226002430133657</v>
      </c>
      <c r="F64" s="14">
        <f>VLOOKUP(F63, RNA!$B$2:$K$113, 9, FALSE)</f>
        <v>0.92626898851426454</v>
      </c>
      <c r="G64" s="14">
        <f>VLOOKUP(G63, RNA!$B$2:$K$113, 9, FALSE)</f>
        <v>2.7757216876387862</v>
      </c>
      <c r="H64" s="14">
        <f>VLOOKUP(H63, RNA!$B$2:$K$113, 9, FALSE)</f>
        <v>0.90689238210399037</v>
      </c>
    </row>
    <row r="65" spans="2:8" x14ac:dyDescent="0.15">
      <c r="B65" s="14">
        <f>VLOOKUP(B63, RNA!$B$2:$K$113, 10, FALSE)</f>
        <v>1.4572986069049056</v>
      </c>
      <c r="C65" s="14">
        <f>VLOOKUP(C63, RNA!$B$2:$K$113, 10, FALSE)</f>
        <v>2.3396778916544658</v>
      </c>
      <c r="D65" s="14">
        <f>VLOOKUP(D63, RNA!$B$2:$K$113, 10, FALSE)</f>
        <v>1.0884086444007854</v>
      </c>
      <c r="E65" s="14">
        <f>VLOOKUP(E63, RNA!$B$2:$K$113, 10, FALSE)</f>
        <v>4.1773997569866346</v>
      </c>
      <c r="F65" s="14">
        <f>VLOOKUP(F63, RNA!$B$2:$K$113, 10, FALSE)</f>
        <v>5.0737310114857355</v>
      </c>
      <c r="G65" s="14">
        <f>VLOOKUP(G63, RNA!$B$2:$K$113, 10, FALSE)</f>
        <v>3.2242783123612138</v>
      </c>
      <c r="H65" s="14">
        <f>VLOOKUP(H63, RNA!$B$2:$K$113, 10, FALSE)</f>
        <v>5.0931076178960097</v>
      </c>
    </row>
  </sheetData>
  <conditionalFormatting sqref="L11:T40">
    <cfRule type="containsText" dxfId="11" priority="12" operator="containsText" text="A_1">
      <formula>NOT(ISERROR(SEARCH("A_1",L11)))</formula>
    </cfRule>
    <cfRule type="containsText" dxfId="10" priority="11" operator="containsText" text="B_1">
      <formula>NOT(ISERROR(SEARCH("B_1",L11)))</formula>
    </cfRule>
    <cfRule type="containsText" dxfId="9" priority="10" operator="containsText" text="C_1">
      <formula>NOT(ISERROR(SEARCH("C_1",L11)))</formula>
    </cfRule>
    <cfRule type="containsText" dxfId="8" priority="9" operator="containsText" text="D_1">
      <formula>NOT(ISERROR(SEARCH("D_1",L11)))</formula>
    </cfRule>
    <cfRule type="containsText" dxfId="7" priority="8" operator="containsText" text="A_2">
      <formula>NOT(ISERROR(SEARCH("A_2",L11)))</formula>
    </cfRule>
    <cfRule type="containsText" dxfId="6" priority="7" operator="containsText" text="B_2">
      <formula>NOT(ISERROR(SEARCH("B_2",L11)))</formula>
    </cfRule>
    <cfRule type="containsText" dxfId="5" priority="6" operator="containsText" text="C_2">
      <formula>NOT(ISERROR(SEARCH("C_2",L11)))</formula>
    </cfRule>
    <cfRule type="containsText" dxfId="4" priority="5" operator="containsText" text="D_2">
      <formula>NOT(ISERROR(SEARCH("D_2",L11)))</formula>
    </cfRule>
    <cfRule type="containsText" dxfId="3" priority="4" operator="containsText" text="A_3">
      <formula>NOT(ISERROR(SEARCH("A_3",L11)))</formula>
    </cfRule>
    <cfRule type="containsText" dxfId="2" priority="3" operator="containsText" text="B_3">
      <formula>NOT(ISERROR(SEARCH("B_3",L11)))</formula>
    </cfRule>
    <cfRule type="containsText" dxfId="1" priority="2" operator="containsText" text="C_3">
      <formula>NOT(ISERROR(SEARCH("C_3",L11)))</formula>
    </cfRule>
    <cfRule type="containsText" dxfId="0" priority="1" operator="containsText" text="D_3">
      <formula>NOT(ISERROR(SEARCH("D_3",L11)))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RNA</vt:lpstr>
      <vt:lpstr>Table_Lookup</vt:lpstr>
      <vt:lpstr>cDNA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Corine Alexis Faehn</cp:lastModifiedBy>
  <dcterms:created xsi:type="dcterms:W3CDTF">2021-07-05T07:13:04Z</dcterms:created>
  <dcterms:modified xsi:type="dcterms:W3CDTF">2021-08-01T18:29:01Z</dcterms:modified>
</cp:coreProperties>
</file>