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cfa024\OneDrive - UiT Office 365\Master's Thesis\Methods\RNA-cDNA\"/>
    </mc:Choice>
  </mc:AlternateContent>
  <bookViews>
    <workbookView xWindow="285" yWindow="465" windowWidth="25800" windowHeight="17475"/>
  </bookViews>
  <sheets>
    <sheet name="All data" sheetId="1" r:id="rId1"/>
    <sheet name="Table lookup_I1" sheetId="3" r:id="rId2"/>
    <sheet name="cDNA" sheetId="2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1" i="1" l="1"/>
  <c r="J121" i="1" s="1"/>
  <c r="K121" i="1" s="1"/>
  <c r="I107" i="1" l="1"/>
  <c r="I106" i="1" s="1"/>
  <c r="H107" i="1"/>
  <c r="H106" i="1" s="1"/>
  <c r="E107" i="1"/>
  <c r="E106" i="1"/>
  <c r="G38" i="1"/>
  <c r="J38" i="1" s="1"/>
  <c r="K38" i="1" s="1"/>
  <c r="G68" i="1"/>
  <c r="J68" i="1" s="1"/>
  <c r="K68" i="1" s="1"/>
  <c r="G74" i="1"/>
  <c r="J74" i="1" s="1"/>
  <c r="K74" i="1" s="1"/>
  <c r="G98" i="1"/>
  <c r="J98" i="1" s="1"/>
  <c r="K98" i="1" s="1"/>
  <c r="G104" i="1" l="1"/>
  <c r="J104" i="1" s="1"/>
  <c r="K104" i="1" s="1"/>
  <c r="G103" i="1"/>
  <c r="J103" i="1" s="1"/>
  <c r="K103" i="1" s="1"/>
  <c r="G123" i="1"/>
  <c r="J123" i="1" s="1"/>
  <c r="K123" i="1" s="1"/>
  <c r="G102" i="1"/>
  <c r="J102" i="1" s="1"/>
  <c r="K102" i="1" s="1"/>
  <c r="G101" i="1"/>
  <c r="J101" i="1" s="1"/>
  <c r="K101" i="1" s="1"/>
  <c r="G122" i="1"/>
  <c r="J122" i="1" s="1"/>
  <c r="K122" i="1" s="1"/>
  <c r="G100" i="1"/>
  <c r="J100" i="1" s="1"/>
  <c r="K100" i="1" s="1"/>
  <c r="G99" i="1"/>
  <c r="J99" i="1" s="1"/>
  <c r="K99" i="1" s="1"/>
  <c r="G97" i="1"/>
  <c r="J97" i="1" s="1"/>
  <c r="K97" i="1" s="1"/>
  <c r="G96" i="1"/>
  <c r="J96" i="1" s="1"/>
  <c r="K96" i="1" s="1"/>
  <c r="G95" i="1"/>
  <c r="J95" i="1" s="1"/>
  <c r="K95" i="1" s="1"/>
  <c r="G94" i="1"/>
  <c r="J94" i="1" s="1"/>
  <c r="K94" i="1" s="1"/>
  <c r="G93" i="1"/>
  <c r="J93" i="1" s="1"/>
  <c r="K93" i="1" s="1"/>
  <c r="G92" i="1"/>
  <c r="J92" i="1" s="1"/>
  <c r="K92" i="1" s="1"/>
  <c r="G91" i="1"/>
  <c r="J91" i="1" s="1"/>
  <c r="K91" i="1" s="1"/>
  <c r="G90" i="1"/>
  <c r="J90" i="1" s="1"/>
  <c r="K90" i="1" s="1"/>
  <c r="G89" i="1"/>
  <c r="J89" i="1" s="1"/>
  <c r="K89" i="1" s="1"/>
  <c r="G120" i="1"/>
  <c r="J120" i="1" s="1"/>
  <c r="K120" i="1" s="1"/>
  <c r="G88" i="1"/>
  <c r="J88" i="1" s="1"/>
  <c r="K88" i="1" s="1"/>
  <c r="G119" i="1"/>
  <c r="J119" i="1" s="1"/>
  <c r="K119" i="1" s="1"/>
  <c r="G87" i="1"/>
  <c r="J87" i="1" s="1"/>
  <c r="K87" i="1" s="1"/>
  <c r="G86" i="1"/>
  <c r="J86" i="1" s="1"/>
  <c r="K86" i="1" s="1"/>
  <c r="G85" i="1"/>
  <c r="J85" i="1" s="1"/>
  <c r="K85" i="1" s="1"/>
  <c r="G84" i="1"/>
  <c r="J84" i="1" s="1"/>
  <c r="K84" i="1" s="1"/>
  <c r="G83" i="1"/>
  <c r="J83" i="1" s="1"/>
  <c r="K83" i="1" s="1"/>
  <c r="G82" i="1"/>
  <c r="J82" i="1" s="1"/>
  <c r="K82" i="1" s="1"/>
  <c r="G81" i="1"/>
  <c r="J81" i="1" s="1"/>
  <c r="K81" i="1" s="1"/>
  <c r="G80" i="1"/>
  <c r="J80" i="1" s="1"/>
  <c r="K80" i="1" s="1"/>
  <c r="G79" i="1"/>
  <c r="J79" i="1" s="1"/>
  <c r="K79" i="1" s="1"/>
  <c r="G78" i="1"/>
  <c r="J78" i="1" s="1"/>
  <c r="K78" i="1" s="1"/>
  <c r="G77" i="1"/>
  <c r="J77" i="1" s="1"/>
  <c r="K77" i="1" s="1"/>
  <c r="G76" i="1"/>
  <c r="J76" i="1" s="1"/>
  <c r="K76" i="1" s="1"/>
  <c r="G75" i="1"/>
  <c r="J75" i="1" s="1"/>
  <c r="K75" i="1" s="1"/>
  <c r="G73" i="1"/>
  <c r="J73" i="1" s="1"/>
  <c r="K73" i="1" s="1"/>
  <c r="G72" i="1"/>
  <c r="J72" i="1" s="1"/>
  <c r="K72" i="1" s="1"/>
  <c r="G71" i="1"/>
  <c r="J71" i="1" s="1"/>
  <c r="K71" i="1" s="1"/>
  <c r="G70" i="1"/>
  <c r="J70" i="1" s="1"/>
  <c r="K70" i="1" s="1"/>
  <c r="G69" i="1"/>
  <c r="J69" i="1" s="1"/>
  <c r="K69" i="1" s="1"/>
  <c r="G67" i="1"/>
  <c r="J67" i="1" s="1"/>
  <c r="K67" i="1" s="1"/>
  <c r="G66" i="1"/>
  <c r="J66" i="1" s="1"/>
  <c r="K66" i="1" s="1"/>
  <c r="G65" i="1"/>
  <c r="J65" i="1" s="1"/>
  <c r="K65" i="1" s="1"/>
  <c r="G64" i="1"/>
  <c r="J64" i="1" s="1"/>
  <c r="K64" i="1" s="1"/>
  <c r="G63" i="1"/>
  <c r="J63" i="1" s="1"/>
  <c r="K63" i="1" s="1"/>
  <c r="G62" i="1"/>
  <c r="J62" i="1" s="1"/>
  <c r="K62" i="1" s="1"/>
  <c r="G61" i="1"/>
  <c r="J61" i="1" s="1"/>
  <c r="K61" i="1" s="1"/>
  <c r="G60" i="1"/>
  <c r="J60" i="1" s="1"/>
  <c r="K60" i="1" s="1"/>
  <c r="G59" i="1"/>
  <c r="J59" i="1" s="1"/>
  <c r="K59" i="1" s="1"/>
  <c r="G58" i="1"/>
  <c r="J58" i="1" s="1"/>
  <c r="K58" i="1" s="1"/>
  <c r="G57" i="1"/>
  <c r="J57" i="1" s="1"/>
  <c r="K57" i="1" s="1"/>
  <c r="G56" i="1"/>
  <c r="J56" i="1" s="1"/>
  <c r="K56" i="1" s="1"/>
  <c r="G55" i="1"/>
  <c r="J55" i="1" s="1"/>
  <c r="K55" i="1" s="1"/>
  <c r="G54" i="1"/>
  <c r="J54" i="1" s="1"/>
  <c r="K54" i="1" s="1"/>
  <c r="G53" i="1"/>
  <c r="J53" i="1" s="1"/>
  <c r="K53" i="1" s="1"/>
  <c r="G52" i="1"/>
  <c r="J52" i="1" s="1"/>
  <c r="K52" i="1" s="1"/>
  <c r="G51" i="1"/>
  <c r="J51" i="1" s="1"/>
  <c r="K51" i="1" s="1"/>
  <c r="G50" i="1"/>
  <c r="J50" i="1" s="1"/>
  <c r="K50" i="1" s="1"/>
  <c r="G49" i="1"/>
  <c r="J49" i="1" s="1"/>
  <c r="K49" i="1" s="1"/>
  <c r="G48" i="1"/>
  <c r="J48" i="1" s="1"/>
  <c r="K48" i="1" s="1"/>
  <c r="G47" i="1"/>
  <c r="J47" i="1" s="1"/>
  <c r="K47" i="1" s="1"/>
  <c r="G46" i="1"/>
  <c r="J46" i="1" s="1"/>
  <c r="K46" i="1" s="1"/>
  <c r="G45" i="1"/>
  <c r="J45" i="1" s="1"/>
  <c r="K45" i="1" s="1"/>
  <c r="G44" i="1"/>
  <c r="J44" i="1" s="1"/>
  <c r="K44" i="1" s="1"/>
  <c r="G43" i="1"/>
  <c r="J43" i="1" s="1"/>
  <c r="K43" i="1" s="1"/>
  <c r="G42" i="1"/>
  <c r="J42" i="1" s="1"/>
  <c r="K42" i="1" s="1"/>
  <c r="G41" i="1"/>
  <c r="J41" i="1" s="1"/>
  <c r="K41" i="1" s="1"/>
  <c r="G40" i="1"/>
  <c r="J40" i="1" s="1"/>
  <c r="K40" i="1" s="1"/>
  <c r="G118" i="1"/>
  <c r="J118" i="1" s="1"/>
  <c r="K118" i="1" s="1"/>
  <c r="G39" i="1"/>
  <c r="J39" i="1" s="1"/>
  <c r="K39" i="1" s="1"/>
  <c r="G117" i="1"/>
  <c r="J117" i="1" s="1"/>
  <c r="K117" i="1" s="1"/>
  <c r="G37" i="1"/>
  <c r="J37" i="1" s="1"/>
  <c r="K37" i="1" s="1"/>
  <c r="G36" i="1"/>
  <c r="J36" i="1" s="1"/>
  <c r="K36" i="1" s="1"/>
  <c r="G35" i="1"/>
  <c r="J35" i="1" s="1"/>
  <c r="K35" i="1" s="1"/>
  <c r="G34" i="1"/>
  <c r="J34" i="1" s="1"/>
  <c r="K34" i="1" s="1"/>
  <c r="G33" i="1"/>
  <c r="J33" i="1" s="1"/>
  <c r="K33" i="1" s="1"/>
  <c r="G32" i="1"/>
  <c r="J32" i="1" s="1"/>
  <c r="K32" i="1" s="1"/>
  <c r="G31" i="1"/>
  <c r="J31" i="1" s="1"/>
  <c r="K31" i="1" s="1"/>
  <c r="G30" i="1"/>
  <c r="J30" i="1" s="1"/>
  <c r="K30" i="1" s="1"/>
  <c r="G29" i="1"/>
  <c r="J29" i="1" s="1"/>
  <c r="K29" i="1" s="1"/>
  <c r="G28" i="1"/>
  <c r="J28" i="1" s="1"/>
  <c r="K28" i="1" s="1"/>
  <c r="G27" i="1"/>
  <c r="J27" i="1" s="1"/>
  <c r="K27" i="1" s="1"/>
  <c r="G26" i="1"/>
  <c r="J26" i="1" s="1"/>
  <c r="K26" i="1" s="1"/>
  <c r="G25" i="1"/>
  <c r="J25" i="1" s="1"/>
  <c r="K25" i="1" s="1"/>
  <c r="G24" i="1"/>
  <c r="J24" i="1" s="1"/>
  <c r="K24" i="1" s="1"/>
  <c r="G23" i="1"/>
  <c r="J23" i="1" s="1"/>
  <c r="K23" i="1" s="1"/>
  <c r="G22" i="1"/>
  <c r="J22" i="1" s="1"/>
  <c r="K22" i="1" s="1"/>
  <c r="G21" i="1"/>
  <c r="J21" i="1" s="1"/>
  <c r="K21" i="1" s="1"/>
  <c r="G20" i="1"/>
  <c r="J20" i="1" s="1"/>
  <c r="K20" i="1" s="1"/>
  <c r="G19" i="1"/>
  <c r="J19" i="1" s="1"/>
  <c r="K19" i="1" s="1"/>
  <c r="G18" i="1"/>
  <c r="J18" i="1" s="1"/>
  <c r="K18" i="1" s="1"/>
  <c r="G17" i="1"/>
  <c r="J17" i="1" s="1"/>
  <c r="K17" i="1" s="1"/>
  <c r="G16" i="1"/>
  <c r="J16" i="1" s="1"/>
  <c r="K16" i="1" s="1"/>
  <c r="G15" i="1"/>
  <c r="J15" i="1" s="1"/>
  <c r="K15" i="1" s="1"/>
  <c r="G14" i="1"/>
  <c r="J14" i="1" s="1"/>
  <c r="K14" i="1" s="1"/>
  <c r="G13" i="1"/>
  <c r="J13" i="1" s="1"/>
  <c r="K13" i="1" s="1"/>
  <c r="G12" i="1"/>
  <c r="J12" i="1" s="1"/>
  <c r="K12" i="1" s="1"/>
  <c r="G11" i="1"/>
  <c r="J11" i="1" s="1"/>
  <c r="K11" i="1" s="1"/>
  <c r="G10" i="1"/>
  <c r="J10" i="1" s="1"/>
  <c r="K10" i="1" s="1"/>
  <c r="G111" i="1"/>
  <c r="J111" i="1" s="1"/>
  <c r="K111" i="1" s="1"/>
  <c r="G9" i="1"/>
  <c r="J9" i="1" s="1"/>
  <c r="K9" i="1" s="1"/>
  <c r="G8" i="1"/>
  <c r="J8" i="1" s="1"/>
  <c r="K8" i="1" s="1"/>
  <c r="G7" i="1"/>
  <c r="J7" i="1" s="1"/>
  <c r="K7" i="1" s="1"/>
  <c r="G6" i="1"/>
  <c r="J6" i="1" s="1"/>
  <c r="K6" i="1" s="1"/>
  <c r="G5" i="1"/>
  <c r="J5" i="1" s="1"/>
  <c r="K5" i="1" s="1"/>
  <c r="G116" i="1"/>
  <c r="J116" i="1" s="1"/>
  <c r="K116" i="1" s="1"/>
  <c r="G4" i="1"/>
  <c r="J4" i="1" s="1"/>
  <c r="K4" i="1" s="1"/>
  <c r="G3" i="1"/>
  <c r="J3" i="1" s="1"/>
  <c r="K3" i="1" s="1"/>
  <c r="G115" i="1"/>
  <c r="J115" i="1" s="1"/>
  <c r="K115" i="1" s="1"/>
  <c r="G2" i="1"/>
  <c r="J2" i="1" s="1"/>
  <c r="K2" i="1" s="1"/>
</calcChain>
</file>

<file path=xl/sharedStrings.xml><?xml version="1.0" encoding="utf-8"?>
<sst xmlns="http://schemas.openxmlformats.org/spreadsheetml/2006/main" count="1041" uniqueCount="246">
  <si>
    <t>Sample ID</t>
  </si>
  <si>
    <t>User name</t>
  </si>
  <si>
    <t>Date and Time</t>
  </si>
  <si>
    <t>Nucleic Acid Conc.</t>
  </si>
  <si>
    <t>Unit</t>
  </si>
  <si>
    <t>260/280</t>
  </si>
  <si>
    <t>260/230</t>
  </si>
  <si>
    <t>Sample Type</t>
  </si>
  <si>
    <t>Factor</t>
  </si>
  <si>
    <t>I1_1A_1</t>
  </si>
  <si>
    <t>Nanodrop 2000</t>
  </si>
  <si>
    <t>20.10.2020 12:32:38</t>
  </si>
  <si>
    <t>ng/µl</t>
  </si>
  <si>
    <t>RNA</t>
  </si>
  <si>
    <t>I1_1A_2</t>
  </si>
  <si>
    <t>20.10.2020 12:34:22</t>
  </si>
  <si>
    <t>I1_1A_3</t>
  </si>
  <si>
    <t>20.10.2020 12:35:17</t>
  </si>
  <si>
    <t>I1_1B_1</t>
  </si>
  <si>
    <t>20.10.2020 12:36:14</t>
  </si>
  <si>
    <t>I1_1B_2</t>
  </si>
  <si>
    <t>20.10.2020 12:37:00</t>
  </si>
  <si>
    <t>I1_1B_3</t>
  </si>
  <si>
    <t>20.10.2020 12:37:40</t>
  </si>
  <si>
    <t>I1_2A_1</t>
  </si>
  <si>
    <t>20.10.2020 12:38:43</t>
  </si>
  <si>
    <t>I1_2A_2</t>
  </si>
  <si>
    <t>20.10.2020 12:39:27</t>
  </si>
  <si>
    <t>I1_2A_3</t>
  </si>
  <si>
    <t>20.10.2020 12:40:17</t>
  </si>
  <si>
    <t>I1_2B_1</t>
  </si>
  <si>
    <t>20.10.2020 12:41:02</t>
  </si>
  <si>
    <t>I1_2B_2</t>
  </si>
  <si>
    <t>20.10.2020 12:42:22</t>
  </si>
  <si>
    <t>I1_2B_3</t>
  </si>
  <si>
    <t>20.10.2020 12:42:58</t>
  </si>
  <si>
    <t>I1_3A_1</t>
  </si>
  <si>
    <t>20.10.2020 12:43:56</t>
  </si>
  <si>
    <t>I1_3A_2</t>
  </si>
  <si>
    <t>20.10.2020 12:44:39</t>
  </si>
  <si>
    <t>I1_3A_3</t>
  </si>
  <si>
    <t>20.10.2020 12:45:22</t>
  </si>
  <si>
    <t>I1_3B_1</t>
  </si>
  <si>
    <t>20.10.2020 12:46:11</t>
  </si>
  <si>
    <t>I1_3B_2</t>
  </si>
  <si>
    <t>20.10.2020 12:46:52</t>
  </si>
  <si>
    <t>I1_3B_3</t>
  </si>
  <si>
    <t>20.10.2020 12:47:28</t>
  </si>
  <si>
    <t>I1_4A_1</t>
  </si>
  <si>
    <t>21.10.2020 12:44:41</t>
  </si>
  <si>
    <t>I1_4A_2</t>
  </si>
  <si>
    <t>21.10.2020 12:45:24</t>
  </si>
  <si>
    <t>I1_4A_3</t>
  </si>
  <si>
    <t>21.10.2020 12:46:04</t>
  </si>
  <si>
    <t>I1_4B_1</t>
  </si>
  <si>
    <t>21.10.2020 12:47:00</t>
  </si>
  <si>
    <t>I1_4B_2</t>
  </si>
  <si>
    <t>21.10.2020 12:47:45</t>
  </si>
  <si>
    <t>I1_4B_3</t>
  </si>
  <si>
    <t>21.10.2020 12:48:25</t>
  </si>
  <si>
    <t>I1_5A_1</t>
  </si>
  <si>
    <t>21.10.2020 12:49:12</t>
  </si>
  <si>
    <t>I1_5A_2</t>
  </si>
  <si>
    <t>21.10.2020 12:49:53</t>
  </si>
  <si>
    <t>I1_5A_3</t>
  </si>
  <si>
    <t>21.10.2020 12:50:31</t>
  </si>
  <si>
    <t>I1_5B_1</t>
  </si>
  <si>
    <t>21.10.2020 12:51:08</t>
  </si>
  <si>
    <t>I1_5B_2</t>
  </si>
  <si>
    <t>21.10.2020 12:51:44</t>
  </si>
  <si>
    <t>I1_5B_3</t>
  </si>
  <si>
    <t>21.10.2020 12:52:24</t>
  </si>
  <si>
    <t>I1_6A_1</t>
  </si>
  <si>
    <t>21.10.2020 12:53:05</t>
  </si>
  <si>
    <t>I1_6A_2</t>
  </si>
  <si>
    <t>21.10.2020 12:53:43</t>
  </si>
  <si>
    <t>I1_6A_3</t>
  </si>
  <si>
    <t>21.10.2020 12:54:26</t>
  </si>
  <si>
    <t>I1_6B_1</t>
  </si>
  <si>
    <t>21.10.2020 12:55:03</t>
  </si>
  <si>
    <t>I1_6B_2</t>
  </si>
  <si>
    <t>21.10.2020 12:55:43</t>
  </si>
  <si>
    <t>I1_6B_3</t>
  </si>
  <si>
    <t>21.10.2020 12:56:20</t>
  </si>
  <si>
    <t>I1_7A_1</t>
  </si>
  <si>
    <t>22.10.2020 12:44:14</t>
  </si>
  <si>
    <t>I1_7A_2</t>
  </si>
  <si>
    <t>22.10.2020 12:45:02</t>
  </si>
  <si>
    <t>I1_7A_3</t>
  </si>
  <si>
    <t>22.10.2020 12:45:43</t>
  </si>
  <si>
    <t>I1_7B_1</t>
  </si>
  <si>
    <t>22.10.2020 12:46:24</t>
  </si>
  <si>
    <t>I1_7B_2</t>
  </si>
  <si>
    <t>22.10.2020 12:47:03</t>
  </si>
  <si>
    <t>I1_7B_3</t>
  </si>
  <si>
    <t>22.10.2020 12:47:43</t>
  </si>
  <si>
    <t>I1_8A_1</t>
  </si>
  <si>
    <t>22.10.2020 12:48:28</t>
  </si>
  <si>
    <t>I1_8A_2</t>
  </si>
  <si>
    <t>22.10.2020 12:49:07</t>
  </si>
  <si>
    <t>I1_8A_3</t>
  </si>
  <si>
    <t>22.10.2020 12:49:49</t>
  </si>
  <si>
    <t>I1_8B_1</t>
  </si>
  <si>
    <t>22.10.2020 12:50:37</t>
  </si>
  <si>
    <t>I1_8B_2</t>
  </si>
  <si>
    <t>22.10.2020 12:51:20</t>
  </si>
  <si>
    <t>I1_8B_3</t>
  </si>
  <si>
    <t>22.10.2020 12:51:58</t>
  </si>
  <si>
    <t>I1_8C_1</t>
  </si>
  <si>
    <t>22.10.2020 12:52:40</t>
  </si>
  <si>
    <t>I1_8C_2</t>
  </si>
  <si>
    <t>22.10.2020 12:53:21</t>
  </si>
  <si>
    <t>I1_8C_3</t>
  </si>
  <si>
    <t>22.10.2020 12:53:58</t>
  </si>
  <si>
    <t>I1_8D_1</t>
  </si>
  <si>
    <t>22.10.2020 12:54:36</t>
  </si>
  <si>
    <t>I1_8D_2</t>
  </si>
  <si>
    <t>22.10.2020 12:55:13</t>
  </si>
  <si>
    <t>I1_8D_3</t>
  </si>
  <si>
    <t>22.10.2020 12:55:49</t>
  </si>
  <si>
    <t>I1_9A_1</t>
  </si>
  <si>
    <t>23.10.2020 14:00:12</t>
  </si>
  <si>
    <t>I1_9A_2</t>
  </si>
  <si>
    <t>23.10.2020 14:00:59</t>
  </si>
  <si>
    <t>I1_9A_3</t>
  </si>
  <si>
    <t>23.10.2020 14:01:39</t>
  </si>
  <si>
    <t>I1_9B_1</t>
  </si>
  <si>
    <t>23.10.2020 14:02:24</t>
  </si>
  <si>
    <t>I1_9B_2</t>
  </si>
  <si>
    <t>23.10.2020 14:03:08</t>
  </si>
  <si>
    <t>I1_9B_3</t>
  </si>
  <si>
    <t>23.10.2020 14:03:51</t>
  </si>
  <si>
    <t>I1_9C_1</t>
  </si>
  <si>
    <t>23.10.2020 14:04:32</t>
  </si>
  <si>
    <t>I1_9C_2</t>
  </si>
  <si>
    <t>23.10.2020 14:05:12</t>
  </si>
  <si>
    <t>I1_9C_3</t>
  </si>
  <si>
    <t>23.10.2020 14:05:50</t>
  </si>
  <si>
    <t>I1_9D_1</t>
  </si>
  <si>
    <t>23.10.2020 14:06:34</t>
  </si>
  <si>
    <t>I1_9D_2</t>
  </si>
  <si>
    <t>23.10.2020 14:07:14</t>
  </si>
  <si>
    <t>I1_9D_3</t>
  </si>
  <si>
    <t>23.10.2020 14:07:52</t>
  </si>
  <si>
    <t>I1_10A_1</t>
  </si>
  <si>
    <t>23.10.2020 14:08:36</t>
  </si>
  <si>
    <t>I1_10A_2</t>
  </si>
  <si>
    <t>23.10.2020 14:10:29</t>
  </si>
  <si>
    <t>I1_10A_3</t>
  </si>
  <si>
    <t>23.10.2020 14:11:08</t>
  </si>
  <si>
    <t>I1_10B_1</t>
  </si>
  <si>
    <t>23.10.2020 14:11:52</t>
  </si>
  <si>
    <t>I1_10B_3</t>
  </si>
  <si>
    <t>23.10.2020 14:12:27</t>
  </si>
  <si>
    <t>I1_10C_1</t>
  </si>
  <si>
    <t>27.10.2020 12:01:22</t>
  </si>
  <si>
    <t>I1_10C_2</t>
  </si>
  <si>
    <t>27.10.2020 12:02:07</t>
  </si>
  <si>
    <t>I1_10C_3</t>
  </si>
  <si>
    <t>27.10.2020 12:02:52</t>
  </si>
  <si>
    <t>I1_10D_1</t>
  </si>
  <si>
    <t>27.10.2020 12:03:45</t>
  </si>
  <si>
    <t>I1_10D_2</t>
  </si>
  <si>
    <t>27.10.2020 12:04:24</t>
  </si>
  <si>
    <t>I1_10D_3</t>
  </si>
  <si>
    <t>27.10.2020 12:05:05</t>
  </si>
  <si>
    <t>I1_11A_1</t>
  </si>
  <si>
    <t>27.10.2020 12:05:48</t>
  </si>
  <si>
    <t>I1_11A_2</t>
  </si>
  <si>
    <t>27.10.2020 12:06:27</t>
  </si>
  <si>
    <t>I1_11A_3</t>
  </si>
  <si>
    <t>27.10.2020 12:07:07</t>
  </si>
  <si>
    <t>I1_11B_1</t>
  </si>
  <si>
    <t>27.10.2020 12:07:56</t>
  </si>
  <si>
    <t>I1_11B_2</t>
  </si>
  <si>
    <t>27.10.2020 12:08:36</t>
  </si>
  <si>
    <t>I1_11B_3</t>
  </si>
  <si>
    <t>27.10.2020 12:09:17</t>
  </si>
  <si>
    <t>I1_11C_1</t>
  </si>
  <si>
    <t>27.10.2020 12:10:05</t>
  </si>
  <si>
    <t>I1_11C_2</t>
  </si>
  <si>
    <t>27.10.2020 12:10:46</t>
  </si>
  <si>
    <t>I1_11C_3</t>
  </si>
  <si>
    <t>27.10.2020 12:11:23</t>
  </si>
  <si>
    <t>I1_11D_1</t>
  </si>
  <si>
    <t>27.10.2020 12:12:05</t>
  </si>
  <si>
    <t>I1_11D_2</t>
  </si>
  <si>
    <t>27.10.2020 12:12:45</t>
  </si>
  <si>
    <t>I1_11D_3</t>
  </si>
  <si>
    <t>27.10.2020 12:13:23</t>
  </si>
  <si>
    <t>I1_12A_1</t>
  </si>
  <si>
    <t>27.10.2020 12:14:07</t>
  </si>
  <si>
    <t>I1_12A_2</t>
  </si>
  <si>
    <t>27.10.2020 12:14:44</t>
  </si>
  <si>
    <t>I1_12A_3</t>
  </si>
  <si>
    <t>27.10.2020 12:15:23</t>
  </si>
  <si>
    <t>I1_12B_1</t>
  </si>
  <si>
    <t>28.10.2020 13:49:06</t>
  </si>
  <si>
    <t>I1_12B_2</t>
  </si>
  <si>
    <t>28.10.2020 13:49:45</t>
  </si>
  <si>
    <t>I1_12B_3</t>
  </si>
  <si>
    <t>28.10.2020 13:50:22</t>
  </si>
  <si>
    <t>I1_12C_1</t>
  </si>
  <si>
    <t>28.10.2020 13:51:06</t>
  </si>
  <si>
    <t>I1_12C_2</t>
  </si>
  <si>
    <t>28.10.2020 13:51:41</t>
  </si>
  <si>
    <t>I1_12C_3</t>
  </si>
  <si>
    <t>28.10.2020 13:52:17</t>
  </si>
  <si>
    <t>I1_12D_1</t>
  </si>
  <si>
    <t>28.10.2020 13:52:56</t>
  </si>
  <si>
    <t>I1_12D_2</t>
  </si>
  <si>
    <t>28.10.2020 13:53:34</t>
  </si>
  <si>
    <t>I1_12D_3</t>
  </si>
  <si>
    <t>28.10.2020 13:54:13</t>
  </si>
  <si>
    <t>I1_13A_1</t>
  </si>
  <si>
    <t>28.10.2020 13:54:56</t>
  </si>
  <si>
    <t>I1_13A_2</t>
  </si>
  <si>
    <t>28.10.2020 13:55:37</t>
  </si>
  <si>
    <t>I1_13A_3</t>
  </si>
  <si>
    <t>28.10.2020 13:56:14</t>
  </si>
  <si>
    <t>I1_13B_1</t>
  </si>
  <si>
    <t>28.10.2020 13:56:50</t>
  </si>
  <si>
    <t>I1_13B_2</t>
  </si>
  <si>
    <t>28.10.2020 13:57:27</t>
  </si>
  <si>
    <t>I1_13B_3</t>
  </si>
  <si>
    <t>28.10.2020 13:58:05</t>
  </si>
  <si>
    <t>I1_13C_1</t>
  </si>
  <si>
    <t>28.10.2020 13:58:46</t>
  </si>
  <si>
    <t>I1_13C_2</t>
  </si>
  <si>
    <t>28.10.2020 13:59:25</t>
  </si>
  <si>
    <t>I1_13C_3</t>
  </si>
  <si>
    <t>28.10.2020 14:00:00</t>
  </si>
  <si>
    <t>I1_13D_1</t>
  </si>
  <si>
    <t>28.10.2020 14:00:42</t>
  </si>
  <si>
    <t>I1_13D_2</t>
  </si>
  <si>
    <t>28.10.2020 14:01:20</t>
  </si>
  <si>
    <t>I1_13D_3</t>
  </si>
  <si>
    <t>28.10.2020 14:01:57</t>
  </si>
  <si>
    <t>Index</t>
  </si>
  <si>
    <t>uL to get 750 ng</t>
  </si>
  <si>
    <t>Volume RNA (max 6 uL)</t>
  </si>
  <si>
    <t>Volume water</t>
  </si>
  <si>
    <t>MISSING: 2B_2, 10B_2</t>
  </si>
  <si>
    <t>No cDNA synthesis</t>
  </si>
  <si>
    <t>omitted from qPCR</t>
  </si>
  <si>
    <t>AVG + 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</si>
</sst>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0"/>
      <name val="Arial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name val="Arial"/>
      <family val="2"/>
    </font>
    <font>
      <sz val="12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CD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18" fillId="33" borderId="10" xfId="0" applyFont="1" applyFill="1" applyBorder="1"/>
    <xf numFmtId="2" fontId="0" fillId="0" borderId="0" xfId="0" applyNumberFormat="1"/>
    <xf numFmtId="164" fontId="0" fillId="0" borderId="0" xfId="0" applyNumberFormat="1"/>
    <xf numFmtId="0" fontId="19" fillId="0" borderId="11" xfId="0" applyFont="1" applyBorder="1" applyAlignment="1">
      <alignment vertical="center" wrapText="1"/>
    </xf>
    <xf numFmtId="0" fontId="19" fillId="0" borderId="12" xfId="0" applyFont="1" applyBorder="1" applyAlignment="1">
      <alignment vertical="center" wrapText="1"/>
    </xf>
    <xf numFmtId="0" fontId="0" fillId="34" borderId="0" xfId="0" applyFill="1"/>
    <xf numFmtId="2" fontId="0" fillId="34" borderId="0" xfId="0" applyNumberFormat="1" applyFill="1"/>
    <xf numFmtId="164" fontId="0" fillId="34" borderId="0" xfId="0" applyNumberFormat="1" applyFill="1"/>
    <xf numFmtId="0" fontId="0" fillId="0" borderId="13" xfId="0" applyBorder="1"/>
    <xf numFmtId="0" fontId="0" fillId="34" borderId="14" xfId="0" applyFill="1" applyBorder="1"/>
    <xf numFmtId="0" fontId="0" fillId="36" borderId="14" xfId="0" applyFill="1" applyBorder="1"/>
    <xf numFmtId="0" fontId="0" fillId="35" borderId="14" xfId="0" applyFill="1" applyBorder="1"/>
    <xf numFmtId="0" fontId="0" fillId="0" borderId="0" xfId="0" applyFill="1"/>
    <xf numFmtId="0" fontId="20" fillId="0" borderId="0" xfId="0" applyFont="1"/>
    <xf numFmtId="0" fontId="22" fillId="0" borderId="15" xfId="0" applyFont="1" applyBorder="1"/>
    <xf numFmtId="0" fontId="22" fillId="0" borderId="16" xfId="0" applyFont="1" applyBorder="1"/>
    <xf numFmtId="0" fontId="20" fillId="0" borderId="0" xfId="0" applyFont="1" applyFill="1"/>
    <xf numFmtId="0" fontId="0" fillId="37" borderId="0" xfId="0" applyFill="1"/>
    <xf numFmtId="2" fontId="0" fillId="37" borderId="0" xfId="0" applyNumberFormat="1" applyFill="1"/>
    <xf numFmtId="164" fontId="0" fillId="37" borderId="0" xfId="0" applyNumberFormat="1" applyFill="1"/>
    <xf numFmtId="2" fontId="0" fillId="0" borderId="0" xfId="0" applyNumberFormat="1" applyFill="1"/>
    <xf numFmtId="164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24"/>
  <sheetViews>
    <sheetView tabSelected="1" topLeftCell="A82" zoomScaleNormal="100" workbookViewId="0">
      <selection activeCell="F106" sqref="F106"/>
    </sheetView>
  </sheetViews>
  <sheetFormatPr defaultColWidth="11.42578125" defaultRowHeight="12.75" x14ac:dyDescent="0.2"/>
  <cols>
    <col min="1" max="1" width="10.85546875" customWidth="1"/>
    <col min="2" max="4" width="20" customWidth="1"/>
    <col min="5" max="5" width="20" style="13" customWidth="1"/>
    <col min="6" max="13" width="20" customWidth="1"/>
  </cols>
  <sheetData>
    <row r="1" spans="1:13" ht="12.95" customHeight="1" x14ac:dyDescent="0.2">
      <c r="A1" s="1" t="s">
        <v>238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239</v>
      </c>
      <c r="H1" s="1" t="s">
        <v>5</v>
      </c>
      <c r="I1" s="1" t="s">
        <v>6</v>
      </c>
      <c r="J1" s="1" t="s">
        <v>240</v>
      </c>
      <c r="K1" s="1" t="s">
        <v>241</v>
      </c>
      <c r="L1" s="1" t="s">
        <v>7</v>
      </c>
      <c r="M1" s="1" t="s">
        <v>8</v>
      </c>
    </row>
    <row r="2" spans="1:13" ht="12.95" customHeight="1" x14ac:dyDescent="0.2">
      <c r="A2">
        <v>1</v>
      </c>
      <c r="B2" t="s">
        <v>9</v>
      </c>
      <c r="C2" t="s">
        <v>10</v>
      </c>
      <c r="D2" t="s">
        <v>11</v>
      </c>
      <c r="E2">
        <v>392.9</v>
      </c>
      <c r="F2" t="s">
        <v>12</v>
      </c>
      <c r="G2" s="2">
        <f>750/E2</f>
        <v>1.9088826673453807</v>
      </c>
      <c r="H2">
        <v>2.04</v>
      </c>
      <c r="I2">
        <v>1.72</v>
      </c>
      <c r="J2" s="3">
        <f>IF(G2&gt;=6,6, G2)</f>
        <v>1.9088826673453807</v>
      </c>
      <c r="K2" s="2">
        <f>6-J2</f>
        <v>4.0911173326546191</v>
      </c>
      <c r="L2" t="s">
        <v>13</v>
      </c>
      <c r="M2">
        <v>40</v>
      </c>
    </row>
    <row r="3" spans="1:13" ht="12.95" customHeight="1" x14ac:dyDescent="0.2">
      <c r="A3">
        <v>3</v>
      </c>
      <c r="B3" t="s">
        <v>16</v>
      </c>
      <c r="C3" t="s">
        <v>10</v>
      </c>
      <c r="D3" t="s">
        <v>17</v>
      </c>
      <c r="E3">
        <v>90.7</v>
      </c>
      <c r="F3" t="s">
        <v>12</v>
      </c>
      <c r="G3" s="2">
        <f>750/E3</f>
        <v>8.2690187431091502</v>
      </c>
      <c r="H3">
        <v>1.35</v>
      </c>
      <c r="I3">
        <v>0.8</v>
      </c>
      <c r="J3" s="3">
        <f>IF(G3&gt;=6,6, G3)</f>
        <v>6</v>
      </c>
      <c r="K3" s="3">
        <f>6-J3</f>
        <v>0</v>
      </c>
      <c r="L3" t="s">
        <v>13</v>
      </c>
      <c r="M3">
        <v>40</v>
      </c>
    </row>
    <row r="4" spans="1:13" ht="12.95" customHeight="1" x14ac:dyDescent="0.2">
      <c r="A4">
        <v>4</v>
      </c>
      <c r="B4" t="s">
        <v>18</v>
      </c>
      <c r="C4" t="s">
        <v>10</v>
      </c>
      <c r="D4" t="s">
        <v>19</v>
      </c>
      <c r="E4">
        <v>156</v>
      </c>
      <c r="F4" t="s">
        <v>12</v>
      </c>
      <c r="G4" s="2">
        <f>750/E4</f>
        <v>4.8076923076923075</v>
      </c>
      <c r="H4">
        <v>1.6</v>
      </c>
      <c r="I4">
        <v>0.87</v>
      </c>
      <c r="J4" s="3">
        <f>IF(G4&gt;=6,6, G4)</f>
        <v>4.8076923076923075</v>
      </c>
      <c r="K4" s="3">
        <f>6-J4</f>
        <v>1.1923076923076925</v>
      </c>
      <c r="L4" t="s">
        <v>13</v>
      </c>
      <c r="M4">
        <v>40</v>
      </c>
    </row>
    <row r="5" spans="1:13" ht="12.95" customHeight="1" x14ac:dyDescent="0.2">
      <c r="A5">
        <v>6</v>
      </c>
      <c r="B5" t="s">
        <v>22</v>
      </c>
      <c r="C5" t="s">
        <v>10</v>
      </c>
      <c r="D5" t="s">
        <v>23</v>
      </c>
      <c r="E5">
        <v>262.7</v>
      </c>
      <c r="F5" t="s">
        <v>12</v>
      </c>
      <c r="G5" s="2">
        <f>750/E5</f>
        <v>2.854967643700038</v>
      </c>
      <c r="H5">
        <v>2.21</v>
      </c>
      <c r="I5">
        <v>2.31</v>
      </c>
      <c r="J5" s="3">
        <f>IF(G5&gt;=6,6, G5)</f>
        <v>2.854967643700038</v>
      </c>
      <c r="K5" s="3">
        <f>6-J5</f>
        <v>3.145032356299962</v>
      </c>
      <c r="L5" t="s">
        <v>13</v>
      </c>
      <c r="M5">
        <v>40</v>
      </c>
    </row>
    <row r="6" spans="1:13" ht="12.95" customHeight="1" x14ac:dyDescent="0.2">
      <c r="A6">
        <v>7</v>
      </c>
      <c r="B6" t="s">
        <v>24</v>
      </c>
      <c r="C6" t="s">
        <v>10</v>
      </c>
      <c r="D6" t="s">
        <v>25</v>
      </c>
      <c r="E6">
        <v>82.4</v>
      </c>
      <c r="F6" t="s">
        <v>12</v>
      </c>
      <c r="G6" s="2">
        <f>750/E6</f>
        <v>9.1019417475728144</v>
      </c>
      <c r="H6">
        <v>2.36</v>
      </c>
      <c r="I6">
        <v>1.22</v>
      </c>
      <c r="J6" s="3">
        <f>IF(G6&gt;=6,6, G6)</f>
        <v>6</v>
      </c>
      <c r="K6" s="3">
        <f>6-J6</f>
        <v>0</v>
      </c>
      <c r="L6" t="s">
        <v>13</v>
      </c>
      <c r="M6">
        <v>40</v>
      </c>
    </row>
    <row r="7" spans="1:13" ht="12.95" customHeight="1" x14ac:dyDescent="0.2">
      <c r="A7">
        <v>8</v>
      </c>
      <c r="B7" t="s">
        <v>26</v>
      </c>
      <c r="C7" t="s">
        <v>10</v>
      </c>
      <c r="D7" t="s">
        <v>27</v>
      </c>
      <c r="E7">
        <v>183.1</v>
      </c>
      <c r="F7" t="s">
        <v>12</v>
      </c>
      <c r="G7" s="2">
        <f>750/E7</f>
        <v>4.0961223375204812</v>
      </c>
      <c r="H7">
        <v>2.2200000000000002</v>
      </c>
      <c r="I7">
        <v>2.13</v>
      </c>
      <c r="J7" s="3">
        <f>IF(G7&gt;=6,6, G7)</f>
        <v>4.0961223375204812</v>
      </c>
      <c r="K7" s="3">
        <f>6-J7</f>
        <v>1.9038776624795188</v>
      </c>
      <c r="L7" t="s">
        <v>13</v>
      </c>
      <c r="M7">
        <v>40</v>
      </c>
    </row>
    <row r="8" spans="1:13" ht="12.95" customHeight="1" x14ac:dyDescent="0.2">
      <c r="A8">
        <v>9</v>
      </c>
      <c r="B8" t="s">
        <v>28</v>
      </c>
      <c r="C8" t="s">
        <v>10</v>
      </c>
      <c r="D8" t="s">
        <v>29</v>
      </c>
      <c r="E8">
        <v>177.8</v>
      </c>
      <c r="F8" t="s">
        <v>12</v>
      </c>
      <c r="G8" s="2">
        <f>750/E8</f>
        <v>4.2182227221597302</v>
      </c>
      <c r="H8">
        <v>2.2799999999999998</v>
      </c>
      <c r="I8">
        <v>1.8</v>
      </c>
      <c r="J8" s="3">
        <f>IF(G8&gt;=6,6, G8)</f>
        <v>4.2182227221597302</v>
      </c>
      <c r="K8" s="3">
        <f>6-J8</f>
        <v>1.7817772778402698</v>
      </c>
      <c r="L8" t="s">
        <v>13</v>
      </c>
      <c r="M8">
        <v>40</v>
      </c>
    </row>
    <row r="9" spans="1:13" ht="12.95" customHeight="1" x14ac:dyDescent="0.2">
      <c r="A9">
        <v>10</v>
      </c>
      <c r="B9" t="s">
        <v>30</v>
      </c>
      <c r="C9" t="s">
        <v>10</v>
      </c>
      <c r="D9" t="s">
        <v>31</v>
      </c>
      <c r="E9">
        <v>306.10000000000002</v>
      </c>
      <c r="F9" t="s">
        <v>12</v>
      </c>
      <c r="G9" s="2">
        <f>750/E9</f>
        <v>2.4501796798431883</v>
      </c>
      <c r="H9">
        <v>1.85</v>
      </c>
      <c r="I9">
        <v>1.72</v>
      </c>
      <c r="J9" s="3">
        <f>IF(G9&gt;=6,6, G9)</f>
        <v>2.4501796798431883</v>
      </c>
      <c r="K9" s="3">
        <f>6-J9</f>
        <v>3.5498203201568117</v>
      </c>
      <c r="L9" t="s">
        <v>13</v>
      </c>
      <c r="M9">
        <v>40</v>
      </c>
    </row>
    <row r="10" spans="1:13" ht="12.95" customHeight="1" x14ac:dyDescent="0.2">
      <c r="A10">
        <v>13</v>
      </c>
      <c r="B10" t="s">
        <v>34</v>
      </c>
      <c r="C10" t="s">
        <v>10</v>
      </c>
      <c r="D10" t="s">
        <v>35</v>
      </c>
      <c r="E10">
        <v>66.5</v>
      </c>
      <c r="F10" t="s">
        <v>12</v>
      </c>
      <c r="G10" s="2">
        <f>750/E10</f>
        <v>11.278195488721805</v>
      </c>
      <c r="H10">
        <v>2.17</v>
      </c>
      <c r="I10">
        <v>2.86</v>
      </c>
      <c r="J10" s="3">
        <f>IF(G10&gt;=6,6, G10)</f>
        <v>6</v>
      </c>
      <c r="K10" s="3">
        <f>6-J10</f>
        <v>0</v>
      </c>
      <c r="L10" t="s">
        <v>13</v>
      </c>
      <c r="M10">
        <v>40</v>
      </c>
    </row>
    <row r="11" spans="1:13" ht="12.95" customHeight="1" x14ac:dyDescent="0.2">
      <c r="A11">
        <v>14</v>
      </c>
      <c r="B11" t="s">
        <v>36</v>
      </c>
      <c r="C11" t="s">
        <v>10</v>
      </c>
      <c r="D11" t="s">
        <v>37</v>
      </c>
      <c r="E11">
        <v>164.5</v>
      </c>
      <c r="F11" t="s">
        <v>12</v>
      </c>
      <c r="G11" s="2">
        <f>750/E11</f>
        <v>4.5592705167173255</v>
      </c>
      <c r="H11">
        <v>2.27</v>
      </c>
      <c r="I11">
        <v>2.16</v>
      </c>
      <c r="J11" s="3">
        <f>IF(G11&gt;=6,6, G11)</f>
        <v>4.5592705167173255</v>
      </c>
      <c r="K11" s="3">
        <f>6-J11</f>
        <v>1.4407294832826745</v>
      </c>
      <c r="L11" t="s">
        <v>13</v>
      </c>
      <c r="M11">
        <v>40</v>
      </c>
    </row>
    <row r="12" spans="1:13" ht="12.95" customHeight="1" x14ac:dyDescent="0.2">
      <c r="A12">
        <v>15</v>
      </c>
      <c r="B12" t="s">
        <v>38</v>
      </c>
      <c r="C12" t="s">
        <v>10</v>
      </c>
      <c r="D12" t="s">
        <v>39</v>
      </c>
      <c r="E12">
        <v>133.4</v>
      </c>
      <c r="F12" t="s">
        <v>12</v>
      </c>
      <c r="G12" s="2">
        <f>750/E12</f>
        <v>5.6221889055472261</v>
      </c>
      <c r="H12">
        <v>2.1</v>
      </c>
      <c r="I12">
        <v>1.66</v>
      </c>
      <c r="J12" s="3">
        <f>IF(G12&gt;=6,6, G12)</f>
        <v>5.6221889055472261</v>
      </c>
      <c r="K12" s="3">
        <f>6-J12</f>
        <v>0.37781109445277394</v>
      </c>
      <c r="L12" t="s">
        <v>13</v>
      </c>
      <c r="M12">
        <v>40</v>
      </c>
    </row>
    <row r="13" spans="1:13" ht="12.95" customHeight="1" x14ac:dyDescent="0.2">
      <c r="A13">
        <v>16</v>
      </c>
      <c r="B13" t="s">
        <v>40</v>
      </c>
      <c r="C13" t="s">
        <v>10</v>
      </c>
      <c r="D13" t="s">
        <v>41</v>
      </c>
      <c r="E13">
        <v>94.2</v>
      </c>
      <c r="F13" t="s">
        <v>12</v>
      </c>
      <c r="G13" s="2">
        <f>750/E13</f>
        <v>7.9617834394904454</v>
      </c>
      <c r="H13">
        <v>2.34</v>
      </c>
      <c r="I13">
        <v>1.41</v>
      </c>
      <c r="J13" s="3">
        <f>IF(G13&gt;=6,6, G13)</f>
        <v>6</v>
      </c>
      <c r="K13" s="3">
        <f>6-J13</f>
        <v>0</v>
      </c>
      <c r="L13" t="s">
        <v>13</v>
      </c>
      <c r="M13">
        <v>40</v>
      </c>
    </row>
    <row r="14" spans="1:13" ht="12.95" customHeight="1" x14ac:dyDescent="0.2">
      <c r="A14">
        <v>17</v>
      </c>
      <c r="B14" t="s">
        <v>42</v>
      </c>
      <c r="C14" t="s">
        <v>10</v>
      </c>
      <c r="D14" t="s">
        <v>43</v>
      </c>
      <c r="E14">
        <v>308.7</v>
      </c>
      <c r="F14" t="s">
        <v>12</v>
      </c>
      <c r="G14" s="2">
        <f>750/E14</f>
        <v>2.4295432458697768</v>
      </c>
      <c r="H14">
        <v>1.8</v>
      </c>
      <c r="I14">
        <v>1.59</v>
      </c>
      <c r="J14" s="3">
        <f>IF(G14&gt;=6,6, G14)</f>
        <v>2.4295432458697768</v>
      </c>
      <c r="K14" s="3">
        <f>6-J14</f>
        <v>3.5704567541302232</v>
      </c>
      <c r="L14" t="s">
        <v>13</v>
      </c>
      <c r="M14">
        <v>40</v>
      </c>
    </row>
    <row r="15" spans="1:13" ht="12.95" customHeight="1" x14ac:dyDescent="0.2">
      <c r="A15">
        <v>18</v>
      </c>
      <c r="B15" t="s">
        <v>44</v>
      </c>
      <c r="C15" t="s">
        <v>10</v>
      </c>
      <c r="D15" t="s">
        <v>45</v>
      </c>
      <c r="E15">
        <v>385.4</v>
      </c>
      <c r="F15" t="s">
        <v>12</v>
      </c>
      <c r="G15" s="2">
        <f>750/E15</f>
        <v>1.9460300985988583</v>
      </c>
      <c r="H15">
        <v>2</v>
      </c>
      <c r="I15">
        <v>1.39</v>
      </c>
      <c r="J15" s="3">
        <f>IF(G15&gt;=6,6, G15)</f>
        <v>1.9460300985988583</v>
      </c>
      <c r="K15" s="3">
        <f>6-J15</f>
        <v>4.0539699014011417</v>
      </c>
      <c r="L15" t="s">
        <v>13</v>
      </c>
      <c r="M15">
        <v>40</v>
      </c>
    </row>
    <row r="16" spans="1:13" ht="12.95" customHeight="1" x14ac:dyDescent="0.2">
      <c r="A16">
        <v>19</v>
      </c>
      <c r="B16" t="s">
        <v>46</v>
      </c>
      <c r="C16" t="s">
        <v>10</v>
      </c>
      <c r="D16" t="s">
        <v>47</v>
      </c>
      <c r="E16">
        <v>185.9</v>
      </c>
      <c r="F16" t="s">
        <v>12</v>
      </c>
      <c r="G16" s="2">
        <f>750/E16</f>
        <v>4.0344271113501877</v>
      </c>
      <c r="H16">
        <v>1.97</v>
      </c>
      <c r="I16">
        <v>1.32</v>
      </c>
      <c r="J16" s="3">
        <f>IF(G16&gt;=6,6, G16)</f>
        <v>4.0344271113501877</v>
      </c>
      <c r="K16" s="3">
        <f>6-J16</f>
        <v>1.9655728886498123</v>
      </c>
      <c r="L16" t="s">
        <v>13</v>
      </c>
      <c r="M16">
        <v>40</v>
      </c>
    </row>
    <row r="17" spans="1:13" ht="12.95" customHeight="1" x14ac:dyDescent="0.2">
      <c r="A17">
        <v>20</v>
      </c>
      <c r="B17" t="s">
        <v>48</v>
      </c>
      <c r="C17" t="s">
        <v>10</v>
      </c>
      <c r="D17" t="s">
        <v>49</v>
      </c>
      <c r="E17">
        <v>263.8</v>
      </c>
      <c r="F17" t="s">
        <v>12</v>
      </c>
      <c r="G17" s="2">
        <f>750/E17</f>
        <v>2.8430629264594387</v>
      </c>
      <c r="H17">
        <v>2.13</v>
      </c>
      <c r="I17">
        <v>1.84</v>
      </c>
      <c r="J17" s="3">
        <f>IF(G17&gt;=6,6, G17)</f>
        <v>2.8430629264594387</v>
      </c>
      <c r="K17" s="3">
        <f>6-J17</f>
        <v>3.1569370735405613</v>
      </c>
      <c r="L17" t="s">
        <v>13</v>
      </c>
      <c r="M17">
        <v>40</v>
      </c>
    </row>
    <row r="18" spans="1:13" ht="12.95" customHeight="1" x14ac:dyDescent="0.2">
      <c r="A18">
        <v>21</v>
      </c>
      <c r="B18" t="s">
        <v>50</v>
      </c>
      <c r="C18" t="s">
        <v>10</v>
      </c>
      <c r="D18" t="s">
        <v>51</v>
      </c>
      <c r="E18">
        <v>122.5</v>
      </c>
      <c r="F18" t="s">
        <v>12</v>
      </c>
      <c r="G18" s="2">
        <f>750/E18</f>
        <v>6.1224489795918364</v>
      </c>
      <c r="H18">
        <v>2.1800000000000002</v>
      </c>
      <c r="I18">
        <v>0.98</v>
      </c>
      <c r="J18" s="3">
        <f>IF(G18&gt;=6,6, G18)</f>
        <v>6</v>
      </c>
      <c r="K18" s="3">
        <f>6-J18</f>
        <v>0</v>
      </c>
      <c r="L18" t="s">
        <v>13</v>
      </c>
      <c r="M18">
        <v>40</v>
      </c>
    </row>
    <row r="19" spans="1:13" ht="12.95" customHeight="1" x14ac:dyDescent="0.2">
      <c r="A19">
        <v>22</v>
      </c>
      <c r="B19" t="s">
        <v>52</v>
      </c>
      <c r="C19" t="s">
        <v>10</v>
      </c>
      <c r="D19" t="s">
        <v>53</v>
      </c>
      <c r="E19">
        <v>251.5</v>
      </c>
      <c r="F19" t="s">
        <v>12</v>
      </c>
      <c r="G19" s="2">
        <f>750/E19</f>
        <v>2.982107355864811</v>
      </c>
      <c r="H19">
        <v>2.16</v>
      </c>
      <c r="I19">
        <v>1.58</v>
      </c>
      <c r="J19" s="3">
        <f>IF(G19&gt;=6,6, G19)</f>
        <v>2.982107355864811</v>
      </c>
      <c r="K19" s="3">
        <f>6-J19</f>
        <v>3.017892644135189</v>
      </c>
      <c r="L19" t="s">
        <v>13</v>
      </c>
      <c r="M19">
        <v>40</v>
      </c>
    </row>
    <row r="20" spans="1:13" ht="12.95" customHeight="1" x14ac:dyDescent="0.2">
      <c r="A20">
        <v>23</v>
      </c>
      <c r="B20" t="s">
        <v>54</v>
      </c>
      <c r="C20" t="s">
        <v>10</v>
      </c>
      <c r="D20" t="s">
        <v>55</v>
      </c>
      <c r="E20">
        <v>377.3</v>
      </c>
      <c r="F20" t="s">
        <v>12</v>
      </c>
      <c r="G20" s="2">
        <f>750/E20</f>
        <v>1.9878081102570897</v>
      </c>
      <c r="H20">
        <v>2.15</v>
      </c>
      <c r="I20">
        <v>1.47</v>
      </c>
      <c r="J20" s="3">
        <f>IF(G20&gt;=6,6, G20)</f>
        <v>1.9878081102570897</v>
      </c>
      <c r="K20" s="3">
        <f>6-J20</f>
        <v>4.0121918897429101</v>
      </c>
      <c r="L20" t="s">
        <v>13</v>
      </c>
      <c r="M20">
        <v>40</v>
      </c>
    </row>
    <row r="21" spans="1:13" ht="12.95" customHeight="1" x14ac:dyDescent="0.2">
      <c r="A21">
        <v>24</v>
      </c>
      <c r="B21" t="s">
        <v>56</v>
      </c>
      <c r="C21" t="s">
        <v>10</v>
      </c>
      <c r="D21" t="s">
        <v>57</v>
      </c>
      <c r="E21">
        <v>391.8</v>
      </c>
      <c r="F21" t="s">
        <v>12</v>
      </c>
      <c r="G21" s="2">
        <f>750/E21</f>
        <v>1.9142419601837672</v>
      </c>
      <c r="H21">
        <v>2.14</v>
      </c>
      <c r="I21">
        <v>2.15</v>
      </c>
      <c r="J21" s="3">
        <f>IF(G21&gt;=6,6, G21)</f>
        <v>1.9142419601837672</v>
      </c>
      <c r="K21" s="3">
        <f>6-J21</f>
        <v>4.0857580398162323</v>
      </c>
      <c r="L21" t="s">
        <v>13</v>
      </c>
      <c r="M21">
        <v>40</v>
      </c>
    </row>
    <row r="22" spans="1:13" ht="12.95" customHeight="1" x14ac:dyDescent="0.2">
      <c r="A22">
        <v>25</v>
      </c>
      <c r="B22" t="s">
        <v>58</v>
      </c>
      <c r="C22" t="s">
        <v>10</v>
      </c>
      <c r="D22" t="s">
        <v>59</v>
      </c>
      <c r="E22">
        <v>221.5</v>
      </c>
      <c r="F22" t="s">
        <v>12</v>
      </c>
      <c r="G22" s="2">
        <f>750/E22</f>
        <v>3.386004514672686</v>
      </c>
      <c r="H22">
        <v>2.14</v>
      </c>
      <c r="I22">
        <v>0.79</v>
      </c>
      <c r="J22" s="3">
        <f>IF(G22&gt;=6,6, G22)</f>
        <v>3.386004514672686</v>
      </c>
      <c r="K22" s="3">
        <f>6-J22</f>
        <v>2.613995485327314</v>
      </c>
      <c r="L22" t="s">
        <v>13</v>
      </c>
      <c r="M22">
        <v>40</v>
      </c>
    </row>
    <row r="23" spans="1:13" ht="12.95" customHeight="1" x14ac:dyDescent="0.2">
      <c r="A23">
        <v>26</v>
      </c>
      <c r="B23" t="s">
        <v>60</v>
      </c>
      <c r="C23" t="s">
        <v>10</v>
      </c>
      <c r="D23" t="s">
        <v>61</v>
      </c>
      <c r="E23">
        <v>221.2</v>
      </c>
      <c r="F23" t="s">
        <v>12</v>
      </c>
      <c r="G23" s="2">
        <f>750/E23</f>
        <v>3.3905967450271248</v>
      </c>
      <c r="H23">
        <v>2.12</v>
      </c>
      <c r="I23">
        <v>1.91</v>
      </c>
      <c r="J23" s="3">
        <f>IF(G23&gt;=6,6, G23)</f>
        <v>3.3905967450271248</v>
      </c>
      <c r="K23" s="3">
        <f>6-J23</f>
        <v>2.6094032549728752</v>
      </c>
      <c r="L23" t="s">
        <v>13</v>
      </c>
      <c r="M23">
        <v>40</v>
      </c>
    </row>
    <row r="24" spans="1:13" ht="12.95" customHeight="1" x14ac:dyDescent="0.2">
      <c r="A24">
        <v>27</v>
      </c>
      <c r="B24" t="s">
        <v>62</v>
      </c>
      <c r="C24" t="s">
        <v>10</v>
      </c>
      <c r="D24" t="s">
        <v>63</v>
      </c>
      <c r="E24">
        <v>355.9</v>
      </c>
      <c r="F24" t="s">
        <v>12</v>
      </c>
      <c r="G24" s="2">
        <f>750/E24</f>
        <v>2.1073335206518689</v>
      </c>
      <c r="H24">
        <v>2.15</v>
      </c>
      <c r="I24">
        <v>2.0699999999999998</v>
      </c>
      <c r="J24" s="3">
        <f>IF(G24&gt;=6,6, G24)</f>
        <v>2.1073335206518689</v>
      </c>
      <c r="K24" s="3">
        <f>6-J24</f>
        <v>3.8926664793481311</v>
      </c>
      <c r="L24" t="s">
        <v>13</v>
      </c>
      <c r="M24">
        <v>40</v>
      </c>
    </row>
    <row r="25" spans="1:13" ht="12.95" customHeight="1" x14ac:dyDescent="0.2">
      <c r="A25">
        <v>28</v>
      </c>
      <c r="B25" t="s">
        <v>64</v>
      </c>
      <c r="C25" t="s">
        <v>10</v>
      </c>
      <c r="D25" t="s">
        <v>65</v>
      </c>
      <c r="E25">
        <v>242.3</v>
      </c>
      <c r="F25" t="s">
        <v>12</v>
      </c>
      <c r="G25" s="2">
        <f>750/E25</f>
        <v>3.0953363598844406</v>
      </c>
      <c r="H25">
        <v>2.15</v>
      </c>
      <c r="I25">
        <v>2.27</v>
      </c>
      <c r="J25" s="3">
        <f>IF(G25&gt;=6,6, G25)</f>
        <v>3.0953363598844406</v>
      </c>
      <c r="K25" s="3">
        <f>6-J25</f>
        <v>2.9046636401155594</v>
      </c>
      <c r="L25" t="s">
        <v>13</v>
      </c>
      <c r="M25">
        <v>40</v>
      </c>
    </row>
    <row r="26" spans="1:13" ht="12.95" customHeight="1" x14ac:dyDescent="0.2">
      <c r="A26">
        <v>29</v>
      </c>
      <c r="B26" t="s">
        <v>66</v>
      </c>
      <c r="C26" t="s">
        <v>10</v>
      </c>
      <c r="D26" t="s">
        <v>67</v>
      </c>
      <c r="E26">
        <v>261.10000000000002</v>
      </c>
      <c r="F26" t="s">
        <v>12</v>
      </c>
      <c r="G26" s="2">
        <f>750/E26</f>
        <v>2.8724626579854458</v>
      </c>
      <c r="H26">
        <v>2.02</v>
      </c>
      <c r="I26">
        <v>1.52</v>
      </c>
      <c r="J26" s="3">
        <f>IF(G26&gt;=6,6, G26)</f>
        <v>2.8724626579854458</v>
      </c>
      <c r="K26" s="3">
        <f>6-J26</f>
        <v>3.1275373420145542</v>
      </c>
      <c r="L26" t="s">
        <v>13</v>
      </c>
      <c r="M26">
        <v>40</v>
      </c>
    </row>
    <row r="27" spans="1:13" ht="12.95" customHeight="1" x14ac:dyDescent="0.2">
      <c r="A27">
        <v>30</v>
      </c>
      <c r="B27" t="s">
        <v>68</v>
      </c>
      <c r="C27" t="s">
        <v>10</v>
      </c>
      <c r="D27" t="s">
        <v>69</v>
      </c>
      <c r="E27">
        <v>422.7</v>
      </c>
      <c r="F27" t="s">
        <v>12</v>
      </c>
      <c r="G27" s="2">
        <f>750/E27</f>
        <v>1.7743080198722498</v>
      </c>
      <c r="H27">
        <v>2.15</v>
      </c>
      <c r="I27">
        <v>2.0099999999999998</v>
      </c>
      <c r="J27" s="3">
        <f>IF(G27&gt;=6,6, G27)</f>
        <v>1.7743080198722498</v>
      </c>
      <c r="K27" s="3">
        <f>6-J27</f>
        <v>4.2256919801277499</v>
      </c>
      <c r="L27" t="s">
        <v>13</v>
      </c>
      <c r="M27">
        <v>40</v>
      </c>
    </row>
    <row r="28" spans="1:13" ht="12.95" customHeight="1" x14ac:dyDescent="0.2">
      <c r="A28">
        <v>31</v>
      </c>
      <c r="B28" t="s">
        <v>70</v>
      </c>
      <c r="C28" t="s">
        <v>10</v>
      </c>
      <c r="D28" t="s">
        <v>71</v>
      </c>
      <c r="E28">
        <v>222.3</v>
      </c>
      <c r="F28" t="s">
        <v>12</v>
      </c>
      <c r="G28" s="2">
        <f>750/E28</f>
        <v>3.3738191632928474</v>
      </c>
      <c r="H28">
        <v>1.86</v>
      </c>
      <c r="I28">
        <v>1.42</v>
      </c>
      <c r="J28" s="3">
        <f>IF(G28&gt;=6,6, G28)</f>
        <v>3.3738191632928474</v>
      </c>
      <c r="K28" s="3">
        <f>6-J28</f>
        <v>2.6261808367071526</v>
      </c>
      <c r="L28" t="s">
        <v>13</v>
      </c>
      <c r="M28">
        <v>40</v>
      </c>
    </row>
    <row r="29" spans="1:13" ht="12.95" customHeight="1" x14ac:dyDescent="0.2">
      <c r="A29">
        <v>32</v>
      </c>
      <c r="B29" t="s">
        <v>72</v>
      </c>
      <c r="C29" t="s">
        <v>10</v>
      </c>
      <c r="D29" t="s">
        <v>73</v>
      </c>
      <c r="E29">
        <v>334.4</v>
      </c>
      <c r="F29" t="s">
        <v>12</v>
      </c>
      <c r="G29" s="2">
        <f>750/E29</f>
        <v>2.2428229665071773</v>
      </c>
      <c r="H29">
        <v>2.14</v>
      </c>
      <c r="I29">
        <v>1.92</v>
      </c>
      <c r="J29" s="3">
        <f>IF(G29&gt;=6,6, G29)</f>
        <v>2.2428229665071773</v>
      </c>
      <c r="K29" s="3">
        <f>6-J29</f>
        <v>3.7571770334928227</v>
      </c>
      <c r="L29" t="s">
        <v>13</v>
      </c>
      <c r="M29">
        <v>40</v>
      </c>
    </row>
    <row r="30" spans="1:13" ht="12.95" customHeight="1" x14ac:dyDescent="0.2">
      <c r="A30">
        <v>33</v>
      </c>
      <c r="B30" t="s">
        <v>74</v>
      </c>
      <c r="C30" t="s">
        <v>10</v>
      </c>
      <c r="D30" t="s">
        <v>75</v>
      </c>
      <c r="E30">
        <v>263</v>
      </c>
      <c r="F30" t="s">
        <v>12</v>
      </c>
      <c r="G30" s="2">
        <f>750/E30</f>
        <v>2.8517110266159698</v>
      </c>
      <c r="H30">
        <v>2.14</v>
      </c>
      <c r="I30">
        <v>1.86</v>
      </c>
      <c r="J30" s="3">
        <f>IF(G30&gt;=6,6, G30)</f>
        <v>2.8517110266159698</v>
      </c>
      <c r="K30" s="3">
        <f>6-J30</f>
        <v>3.1482889733840302</v>
      </c>
      <c r="L30" t="s">
        <v>13</v>
      </c>
      <c r="M30">
        <v>40</v>
      </c>
    </row>
    <row r="31" spans="1:13" ht="12.95" customHeight="1" x14ac:dyDescent="0.2">
      <c r="A31">
        <v>34</v>
      </c>
      <c r="B31" t="s">
        <v>76</v>
      </c>
      <c r="C31" t="s">
        <v>10</v>
      </c>
      <c r="D31" t="s">
        <v>77</v>
      </c>
      <c r="E31">
        <v>235.8</v>
      </c>
      <c r="F31" t="s">
        <v>12</v>
      </c>
      <c r="G31" s="2">
        <f>750/E31</f>
        <v>3.1806615776081424</v>
      </c>
      <c r="H31">
        <v>2.11</v>
      </c>
      <c r="I31">
        <v>2.04</v>
      </c>
      <c r="J31" s="3">
        <f>IF(G31&gt;=6,6, G31)</f>
        <v>3.1806615776081424</v>
      </c>
      <c r="K31" s="3">
        <f>6-J31</f>
        <v>2.8193384223918576</v>
      </c>
      <c r="L31" t="s">
        <v>13</v>
      </c>
      <c r="M31">
        <v>40</v>
      </c>
    </row>
    <row r="32" spans="1:13" ht="12.95" customHeight="1" x14ac:dyDescent="0.2">
      <c r="A32">
        <v>35</v>
      </c>
      <c r="B32" t="s">
        <v>78</v>
      </c>
      <c r="C32" t="s">
        <v>10</v>
      </c>
      <c r="D32" t="s">
        <v>79</v>
      </c>
      <c r="E32">
        <v>303.2</v>
      </c>
      <c r="F32" t="s">
        <v>12</v>
      </c>
      <c r="G32" s="2">
        <f>750/E32</f>
        <v>2.473614775725594</v>
      </c>
      <c r="H32">
        <v>2.13</v>
      </c>
      <c r="I32">
        <v>2.23</v>
      </c>
      <c r="J32" s="3">
        <f>IF(G32&gt;=6,6, G32)</f>
        <v>2.473614775725594</v>
      </c>
      <c r="K32" s="3">
        <f>6-J32</f>
        <v>3.526385224274406</v>
      </c>
      <c r="L32" t="s">
        <v>13</v>
      </c>
      <c r="M32">
        <v>40</v>
      </c>
    </row>
    <row r="33" spans="1:13" ht="12.95" customHeight="1" x14ac:dyDescent="0.2">
      <c r="A33">
        <v>36</v>
      </c>
      <c r="B33" t="s">
        <v>80</v>
      </c>
      <c r="C33" t="s">
        <v>10</v>
      </c>
      <c r="D33" t="s">
        <v>81</v>
      </c>
      <c r="E33">
        <v>292.2</v>
      </c>
      <c r="F33" t="s">
        <v>12</v>
      </c>
      <c r="G33" s="2">
        <f>750/E33</f>
        <v>2.5667351129363452</v>
      </c>
      <c r="H33">
        <v>2.16</v>
      </c>
      <c r="I33">
        <v>2.12</v>
      </c>
      <c r="J33" s="3">
        <f>IF(G33&gt;=6,6, G33)</f>
        <v>2.5667351129363452</v>
      </c>
      <c r="K33" s="3">
        <f>6-J33</f>
        <v>3.4332648870636548</v>
      </c>
      <c r="L33" t="s">
        <v>13</v>
      </c>
      <c r="M33">
        <v>40</v>
      </c>
    </row>
    <row r="34" spans="1:13" ht="12.95" customHeight="1" x14ac:dyDescent="0.2">
      <c r="A34">
        <v>37</v>
      </c>
      <c r="B34" t="s">
        <v>82</v>
      </c>
      <c r="C34" t="s">
        <v>10</v>
      </c>
      <c r="D34" t="s">
        <v>83</v>
      </c>
      <c r="E34">
        <v>290.7</v>
      </c>
      <c r="F34" t="s">
        <v>12</v>
      </c>
      <c r="G34" s="2">
        <f>750/E34</f>
        <v>2.5799793601651189</v>
      </c>
      <c r="H34">
        <v>2.15</v>
      </c>
      <c r="I34">
        <v>2.02</v>
      </c>
      <c r="J34" s="3">
        <f>IF(G34&gt;=6,6, G34)</f>
        <v>2.5799793601651189</v>
      </c>
      <c r="K34" s="3">
        <f>6-J34</f>
        <v>3.4200206398348811</v>
      </c>
      <c r="L34" t="s">
        <v>13</v>
      </c>
      <c r="M34">
        <v>40</v>
      </c>
    </row>
    <row r="35" spans="1:13" ht="12.95" customHeight="1" x14ac:dyDescent="0.2">
      <c r="A35">
        <v>38</v>
      </c>
      <c r="B35" t="s">
        <v>84</v>
      </c>
      <c r="C35" t="s">
        <v>10</v>
      </c>
      <c r="D35" t="s">
        <v>85</v>
      </c>
      <c r="E35">
        <v>213.8</v>
      </c>
      <c r="F35" t="s">
        <v>12</v>
      </c>
      <c r="G35" s="2">
        <f>750/E35</f>
        <v>3.5079513564078577</v>
      </c>
      <c r="H35">
        <v>2.16</v>
      </c>
      <c r="I35">
        <v>1.38</v>
      </c>
      <c r="J35" s="3">
        <f>IF(G35&gt;=6,6, G35)</f>
        <v>3.5079513564078577</v>
      </c>
      <c r="K35" s="3">
        <f>6-J35</f>
        <v>2.4920486435921423</v>
      </c>
      <c r="L35" t="s">
        <v>13</v>
      </c>
      <c r="M35">
        <v>40</v>
      </c>
    </row>
    <row r="36" spans="1:13" ht="12.95" customHeight="1" x14ac:dyDescent="0.2">
      <c r="A36">
        <v>39</v>
      </c>
      <c r="B36" t="s">
        <v>86</v>
      </c>
      <c r="C36" t="s">
        <v>10</v>
      </c>
      <c r="D36" t="s">
        <v>87</v>
      </c>
      <c r="E36">
        <v>286.39999999999998</v>
      </c>
      <c r="F36" t="s">
        <v>12</v>
      </c>
      <c r="G36" s="2">
        <f>750/E36</f>
        <v>2.6187150837988828</v>
      </c>
      <c r="H36">
        <v>2.14</v>
      </c>
      <c r="I36">
        <v>2.17</v>
      </c>
      <c r="J36" s="3">
        <f>IF(G36&gt;=6,6, G36)</f>
        <v>2.6187150837988828</v>
      </c>
      <c r="K36" s="3">
        <f>6-J36</f>
        <v>3.3812849162011172</v>
      </c>
      <c r="L36" t="s">
        <v>13</v>
      </c>
      <c r="M36">
        <v>40</v>
      </c>
    </row>
    <row r="37" spans="1:13" ht="12.95" customHeight="1" x14ac:dyDescent="0.2">
      <c r="A37">
        <v>40</v>
      </c>
      <c r="B37" t="s">
        <v>88</v>
      </c>
      <c r="C37" t="s">
        <v>10</v>
      </c>
      <c r="D37" t="s">
        <v>89</v>
      </c>
      <c r="E37">
        <v>230.5</v>
      </c>
      <c r="F37" t="s">
        <v>12</v>
      </c>
      <c r="G37" s="2">
        <f>750/E37</f>
        <v>3.2537960954446854</v>
      </c>
      <c r="H37">
        <v>2.06</v>
      </c>
      <c r="I37">
        <v>1.81</v>
      </c>
      <c r="J37" s="3">
        <f>IF(G37&gt;=6,6, G37)</f>
        <v>3.2537960954446854</v>
      </c>
      <c r="K37" s="3">
        <f>6-J37</f>
        <v>2.7462039045553146</v>
      </c>
      <c r="L37" t="s">
        <v>13</v>
      </c>
      <c r="M37">
        <v>40</v>
      </c>
    </row>
    <row r="38" spans="1:13" ht="12.95" customHeight="1" x14ac:dyDescent="0.2">
      <c r="A38" s="13">
        <v>41</v>
      </c>
      <c r="B38" s="13" t="s">
        <v>90</v>
      </c>
      <c r="C38" t="s">
        <v>10</v>
      </c>
      <c r="D38" t="s">
        <v>91</v>
      </c>
      <c r="E38">
        <v>199.7</v>
      </c>
      <c r="F38" t="s">
        <v>12</v>
      </c>
      <c r="G38" s="2">
        <f>750/E38</f>
        <v>3.7556334501752633</v>
      </c>
      <c r="H38">
        <v>2.21</v>
      </c>
      <c r="I38">
        <v>1.45</v>
      </c>
      <c r="J38" s="3">
        <f>IF(G38&gt;=6,6, G38)</f>
        <v>3.7556334501752633</v>
      </c>
      <c r="K38" s="3">
        <f>6-J38</f>
        <v>2.2443665498247367</v>
      </c>
      <c r="L38" t="s">
        <v>13</v>
      </c>
      <c r="M38">
        <v>40</v>
      </c>
    </row>
    <row r="39" spans="1:13" s="13" customFormat="1" ht="12.95" customHeight="1" x14ac:dyDescent="0.2">
      <c r="A39" s="13">
        <v>43</v>
      </c>
      <c r="B39" s="13" t="s">
        <v>94</v>
      </c>
      <c r="C39" s="13" t="s">
        <v>10</v>
      </c>
      <c r="D39" s="13" t="s">
        <v>95</v>
      </c>
      <c r="E39" s="13">
        <v>468.9</v>
      </c>
      <c r="F39" s="13" t="s">
        <v>12</v>
      </c>
      <c r="G39" s="21">
        <f>750/E39</f>
        <v>1.599488163787588</v>
      </c>
      <c r="H39" s="13">
        <v>2.14</v>
      </c>
      <c r="I39" s="13">
        <v>1.31</v>
      </c>
      <c r="J39" s="22">
        <f>IF(G39&gt;=6,6, G39)</f>
        <v>1.599488163787588</v>
      </c>
      <c r="K39" s="22">
        <f>6-J39</f>
        <v>4.400511836212412</v>
      </c>
      <c r="L39" s="13" t="s">
        <v>13</v>
      </c>
      <c r="M39" s="13">
        <v>40</v>
      </c>
    </row>
    <row r="40" spans="1:13" ht="12.95" customHeight="1" x14ac:dyDescent="0.2">
      <c r="A40">
        <v>45</v>
      </c>
      <c r="B40" t="s">
        <v>98</v>
      </c>
      <c r="C40" t="s">
        <v>10</v>
      </c>
      <c r="D40" t="s">
        <v>99</v>
      </c>
      <c r="E40">
        <v>375.4</v>
      </c>
      <c r="F40" t="s">
        <v>12</v>
      </c>
      <c r="G40" s="2">
        <f>750/E40</f>
        <v>1.9978689397975493</v>
      </c>
      <c r="H40">
        <v>2.14</v>
      </c>
      <c r="I40">
        <v>2.11</v>
      </c>
      <c r="J40" s="3">
        <f>IF(G40&gt;=6,6, G40)</f>
        <v>1.9978689397975493</v>
      </c>
      <c r="K40" s="3">
        <f>6-J40</f>
        <v>4.0021310602024505</v>
      </c>
      <c r="L40" t="s">
        <v>13</v>
      </c>
      <c r="M40">
        <v>40</v>
      </c>
    </row>
    <row r="41" spans="1:13" ht="12.95" customHeight="1" x14ac:dyDescent="0.2">
      <c r="A41" s="13">
        <v>46</v>
      </c>
      <c r="B41" t="s">
        <v>100</v>
      </c>
      <c r="C41" t="s">
        <v>10</v>
      </c>
      <c r="D41" t="s">
        <v>101</v>
      </c>
      <c r="E41">
        <v>427.2</v>
      </c>
      <c r="F41" t="s">
        <v>12</v>
      </c>
      <c r="G41" s="2">
        <f>750/E41</f>
        <v>1.75561797752809</v>
      </c>
      <c r="H41">
        <v>2.14</v>
      </c>
      <c r="I41">
        <v>2.1</v>
      </c>
      <c r="J41" s="3">
        <f>IF(G41&gt;=6,6, G41)</f>
        <v>1.75561797752809</v>
      </c>
      <c r="K41" s="3">
        <f>6-J41</f>
        <v>4.2443820224719104</v>
      </c>
      <c r="L41" t="s">
        <v>13</v>
      </c>
      <c r="M41">
        <v>40</v>
      </c>
    </row>
    <row r="42" spans="1:13" ht="12.95" customHeight="1" x14ac:dyDescent="0.2">
      <c r="A42">
        <v>47</v>
      </c>
      <c r="B42" t="s">
        <v>102</v>
      </c>
      <c r="C42" t="s">
        <v>10</v>
      </c>
      <c r="D42" t="s">
        <v>103</v>
      </c>
      <c r="E42">
        <v>329.5</v>
      </c>
      <c r="F42" t="s">
        <v>12</v>
      </c>
      <c r="G42" s="2">
        <f>750/E42</f>
        <v>2.2761760242792111</v>
      </c>
      <c r="H42">
        <v>2.15</v>
      </c>
      <c r="I42">
        <v>2.2400000000000002</v>
      </c>
      <c r="J42" s="3">
        <f>IF(G42&gt;=6,6, G42)</f>
        <v>2.2761760242792111</v>
      </c>
      <c r="K42" s="3">
        <f>6-J42</f>
        <v>3.7238239757207889</v>
      </c>
      <c r="L42" t="s">
        <v>13</v>
      </c>
      <c r="M42">
        <v>40</v>
      </c>
    </row>
    <row r="43" spans="1:13" ht="12.95" customHeight="1" x14ac:dyDescent="0.2">
      <c r="A43">
        <v>48</v>
      </c>
      <c r="B43" t="s">
        <v>104</v>
      </c>
      <c r="C43" t="s">
        <v>10</v>
      </c>
      <c r="D43" t="s">
        <v>105</v>
      </c>
      <c r="E43">
        <v>325</v>
      </c>
      <c r="F43" t="s">
        <v>12</v>
      </c>
      <c r="G43" s="2">
        <f>750/E43</f>
        <v>2.3076923076923075</v>
      </c>
      <c r="H43">
        <v>2.16</v>
      </c>
      <c r="I43">
        <v>2.17</v>
      </c>
      <c r="J43" s="3">
        <f>IF(G43&gt;=6,6, G43)</f>
        <v>2.3076923076923075</v>
      </c>
      <c r="K43" s="3">
        <f>6-J43</f>
        <v>3.6923076923076925</v>
      </c>
      <c r="L43" t="s">
        <v>13</v>
      </c>
      <c r="M43">
        <v>40</v>
      </c>
    </row>
    <row r="44" spans="1:13" ht="12.95" customHeight="1" x14ac:dyDescent="0.2">
      <c r="A44">
        <v>49</v>
      </c>
      <c r="B44" t="s">
        <v>106</v>
      </c>
      <c r="C44" t="s">
        <v>10</v>
      </c>
      <c r="D44" t="s">
        <v>107</v>
      </c>
      <c r="E44">
        <v>352.8</v>
      </c>
      <c r="F44" t="s">
        <v>12</v>
      </c>
      <c r="G44" s="2">
        <f>750/E44</f>
        <v>2.1258503401360542</v>
      </c>
      <c r="H44">
        <v>2.17</v>
      </c>
      <c r="I44">
        <v>1.94</v>
      </c>
      <c r="J44" s="3">
        <f>IF(G44&gt;=6,6, G44)</f>
        <v>2.1258503401360542</v>
      </c>
      <c r="K44" s="3">
        <f>6-J44</f>
        <v>3.8741496598639458</v>
      </c>
      <c r="L44" t="s">
        <v>13</v>
      </c>
      <c r="M44">
        <v>40</v>
      </c>
    </row>
    <row r="45" spans="1:13" ht="12.95" customHeight="1" x14ac:dyDescent="0.2">
      <c r="A45">
        <v>50</v>
      </c>
      <c r="B45" t="s">
        <v>108</v>
      </c>
      <c r="C45" t="s">
        <v>10</v>
      </c>
      <c r="D45" t="s">
        <v>109</v>
      </c>
      <c r="E45">
        <v>407.9</v>
      </c>
      <c r="F45" t="s">
        <v>12</v>
      </c>
      <c r="G45" s="2">
        <f>750/E45</f>
        <v>1.8386859524393235</v>
      </c>
      <c r="H45">
        <v>2.14</v>
      </c>
      <c r="I45">
        <v>2.25</v>
      </c>
      <c r="J45" s="3">
        <f>IF(G45&gt;=6,6, G45)</f>
        <v>1.8386859524393235</v>
      </c>
      <c r="K45" s="3">
        <f>6-J45</f>
        <v>4.1613140475606762</v>
      </c>
      <c r="L45" t="s">
        <v>13</v>
      </c>
      <c r="M45">
        <v>40</v>
      </c>
    </row>
    <row r="46" spans="1:13" ht="12.95" customHeight="1" x14ac:dyDescent="0.2">
      <c r="A46">
        <v>51</v>
      </c>
      <c r="B46" t="s">
        <v>110</v>
      </c>
      <c r="C46" t="s">
        <v>10</v>
      </c>
      <c r="D46" t="s">
        <v>111</v>
      </c>
      <c r="E46">
        <v>330.7</v>
      </c>
      <c r="F46" t="s">
        <v>12</v>
      </c>
      <c r="G46" s="2">
        <f>750/E46</f>
        <v>2.2679165406713033</v>
      </c>
      <c r="H46">
        <v>2.15</v>
      </c>
      <c r="I46">
        <v>2.12</v>
      </c>
      <c r="J46" s="3">
        <f>IF(G46&gt;=6,6, G46)</f>
        <v>2.2679165406713033</v>
      </c>
      <c r="K46" s="3">
        <f>6-J46</f>
        <v>3.7320834593286967</v>
      </c>
      <c r="L46" t="s">
        <v>13</v>
      </c>
      <c r="M46">
        <v>40</v>
      </c>
    </row>
    <row r="47" spans="1:13" ht="12.95" customHeight="1" x14ac:dyDescent="0.2">
      <c r="A47">
        <v>52</v>
      </c>
      <c r="B47" t="s">
        <v>112</v>
      </c>
      <c r="C47" t="s">
        <v>10</v>
      </c>
      <c r="D47" t="s">
        <v>113</v>
      </c>
      <c r="E47">
        <v>125.2</v>
      </c>
      <c r="F47" t="s">
        <v>12</v>
      </c>
      <c r="G47" s="2">
        <f>750/E47</f>
        <v>5.9904153354632586</v>
      </c>
      <c r="H47">
        <v>2.12</v>
      </c>
      <c r="I47">
        <v>1.32</v>
      </c>
      <c r="J47" s="3">
        <f>IF(G47&gt;=6,6, G47)</f>
        <v>5.9904153354632586</v>
      </c>
      <c r="K47" s="3">
        <f>6-J47</f>
        <v>9.5846645367414496E-3</v>
      </c>
      <c r="L47" t="s">
        <v>13</v>
      </c>
      <c r="M47">
        <v>40</v>
      </c>
    </row>
    <row r="48" spans="1:13" ht="12.95" customHeight="1" x14ac:dyDescent="0.2">
      <c r="A48">
        <v>53</v>
      </c>
      <c r="B48" t="s">
        <v>114</v>
      </c>
      <c r="C48" t="s">
        <v>10</v>
      </c>
      <c r="D48" t="s">
        <v>115</v>
      </c>
      <c r="E48">
        <v>268.10000000000002</v>
      </c>
      <c r="F48" t="s">
        <v>12</v>
      </c>
      <c r="G48" s="2">
        <f>750/E48</f>
        <v>2.7974636329727711</v>
      </c>
      <c r="H48">
        <v>2.15</v>
      </c>
      <c r="I48">
        <v>2.13</v>
      </c>
      <c r="J48" s="3">
        <f>IF(G48&gt;=6,6, G48)</f>
        <v>2.7974636329727711</v>
      </c>
      <c r="K48" s="3">
        <f>6-J48</f>
        <v>3.2025363670272289</v>
      </c>
      <c r="L48" t="s">
        <v>13</v>
      </c>
      <c r="M48">
        <v>40</v>
      </c>
    </row>
    <row r="49" spans="1:13" ht="12.95" customHeight="1" x14ac:dyDescent="0.2">
      <c r="A49">
        <v>54</v>
      </c>
      <c r="B49" t="s">
        <v>116</v>
      </c>
      <c r="C49" t="s">
        <v>10</v>
      </c>
      <c r="D49" t="s">
        <v>117</v>
      </c>
      <c r="E49">
        <v>285.3</v>
      </c>
      <c r="F49" t="s">
        <v>12</v>
      </c>
      <c r="G49" s="2">
        <f>750/E49</f>
        <v>2.6288117770767614</v>
      </c>
      <c r="H49">
        <v>2.16</v>
      </c>
      <c r="I49">
        <v>1.62</v>
      </c>
      <c r="J49" s="3">
        <f>IF(G49&gt;=6,6, G49)</f>
        <v>2.6288117770767614</v>
      </c>
      <c r="K49" s="3">
        <f>6-J49</f>
        <v>3.3711882229232386</v>
      </c>
      <c r="L49" t="s">
        <v>13</v>
      </c>
      <c r="M49">
        <v>40</v>
      </c>
    </row>
    <row r="50" spans="1:13" ht="12.95" customHeight="1" x14ac:dyDescent="0.2">
      <c r="A50">
        <v>55</v>
      </c>
      <c r="B50" t="s">
        <v>118</v>
      </c>
      <c r="C50" t="s">
        <v>10</v>
      </c>
      <c r="D50" t="s">
        <v>119</v>
      </c>
      <c r="E50">
        <v>307.7</v>
      </c>
      <c r="F50" t="s">
        <v>12</v>
      </c>
      <c r="G50" s="2">
        <f>750/E50</f>
        <v>2.4374390640233994</v>
      </c>
      <c r="H50">
        <v>2.15</v>
      </c>
      <c r="I50">
        <v>2.09</v>
      </c>
      <c r="J50" s="3">
        <f>IF(G50&gt;=6,6, G50)</f>
        <v>2.4374390640233994</v>
      </c>
      <c r="K50" s="3">
        <f>6-J50</f>
        <v>3.5625609359766006</v>
      </c>
      <c r="L50" t="s">
        <v>13</v>
      </c>
      <c r="M50">
        <v>40</v>
      </c>
    </row>
    <row r="51" spans="1:13" ht="12.95" customHeight="1" x14ac:dyDescent="0.2">
      <c r="A51">
        <v>56</v>
      </c>
      <c r="B51" t="s">
        <v>120</v>
      </c>
      <c r="C51" t="s">
        <v>10</v>
      </c>
      <c r="D51" t="s">
        <v>121</v>
      </c>
      <c r="E51">
        <v>261.10000000000002</v>
      </c>
      <c r="F51" t="s">
        <v>12</v>
      </c>
      <c r="G51" s="2">
        <f>750/E51</f>
        <v>2.8724626579854458</v>
      </c>
      <c r="H51">
        <v>2.15</v>
      </c>
      <c r="I51">
        <v>1.81</v>
      </c>
      <c r="J51" s="3">
        <f>IF(G51&gt;=6,6, G51)</f>
        <v>2.8724626579854458</v>
      </c>
      <c r="K51" s="3">
        <f>6-J51</f>
        <v>3.1275373420145542</v>
      </c>
      <c r="L51" t="s">
        <v>13</v>
      </c>
      <c r="M51">
        <v>40</v>
      </c>
    </row>
    <row r="52" spans="1:13" ht="12.95" customHeight="1" x14ac:dyDescent="0.2">
      <c r="A52">
        <v>57</v>
      </c>
      <c r="B52" t="s">
        <v>122</v>
      </c>
      <c r="C52" t="s">
        <v>10</v>
      </c>
      <c r="D52" t="s">
        <v>123</v>
      </c>
      <c r="E52">
        <v>181.5</v>
      </c>
      <c r="F52" t="s">
        <v>12</v>
      </c>
      <c r="G52" s="2">
        <f>750/E52</f>
        <v>4.1322314049586772</v>
      </c>
      <c r="H52">
        <v>2.13</v>
      </c>
      <c r="I52">
        <v>1.86</v>
      </c>
      <c r="J52" s="3">
        <f>IF(G52&gt;=6,6, G52)</f>
        <v>4.1322314049586772</v>
      </c>
      <c r="K52" s="3">
        <f>6-J52</f>
        <v>1.8677685950413228</v>
      </c>
      <c r="L52" t="s">
        <v>13</v>
      </c>
      <c r="M52">
        <v>40</v>
      </c>
    </row>
    <row r="53" spans="1:13" ht="12.95" customHeight="1" x14ac:dyDescent="0.2">
      <c r="A53">
        <v>58</v>
      </c>
      <c r="B53" t="s">
        <v>124</v>
      </c>
      <c r="C53" t="s">
        <v>10</v>
      </c>
      <c r="D53" t="s">
        <v>125</v>
      </c>
      <c r="E53">
        <v>379.6</v>
      </c>
      <c r="F53" t="s">
        <v>12</v>
      </c>
      <c r="G53" s="2">
        <f>750/E53</f>
        <v>1.9757639620653318</v>
      </c>
      <c r="H53">
        <v>2.14</v>
      </c>
      <c r="I53">
        <v>1.79</v>
      </c>
      <c r="J53" s="3">
        <f>IF(G53&gt;=6,6, G53)</f>
        <v>1.9757639620653318</v>
      </c>
      <c r="K53" s="3">
        <f>6-J53</f>
        <v>4.024236037934668</v>
      </c>
      <c r="L53" t="s">
        <v>13</v>
      </c>
      <c r="M53">
        <v>40</v>
      </c>
    </row>
    <row r="54" spans="1:13" ht="12.95" customHeight="1" x14ac:dyDescent="0.2">
      <c r="A54">
        <v>59</v>
      </c>
      <c r="B54" t="s">
        <v>126</v>
      </c>
      <c r="C54" t="s">
        <v>10</v>
      </c>
      <c r="D54" t="s">
        <v>127</v>
      </c>
      <c r="E54">
        <v>318.39999999999998</v>
      </c>
      <c r="F54" t="s">
        <v>12</v>
      </c>
      <c r="G54" s="2">
        <f>750/E54</f>
        <v>2.3555276381909551</v>
      </c>
      <c r="H54">
        <v>2.14</v>
      </c>
      <c r="I54">
        <v>1.94</v>
      </c>
      <c r="J54" s="3">
        <f>IF(G54&gt;=6,6, G54)</f>
        <v>2.3555276381909551</v>
      </c>
      <c r="K54" s="3">
        <f>6-J54</f>
        <v>3.6444723618090449</v>
      </c>
      <c r="L54" t="s">
        <v>13</v>
      </c>
      <c r="M54">
        <v>40</v>
      </c>
    </row>
    <row r="55" spans="1:13" ht="12.95" customHeight="1" x14ac:dyDescent="0.2">
      <c r="A55">
        <v>60</v>
      </c>
      <c r="B55" t="s">
        <v>128</v>
      </c>
      <c r="C55" t="s">
        <v>10</v>
      </c>
      <c r="D55" t="s">
        <v>129</v>
      </c>
      <c r="E55">
        <v>307.2</v>
      </c>
      <c r="F55" t="s">
        <v>12</v>
      </c>
      <c r="G55" s="2">
        <f>750/E55</f>
        <v>2.44140625</v>
      </c>
      <c r="H55">
        <v>2.14</v>
      </c>
      <c r="I55">
        <v>1.86</v>
      </c>
      <c r="J55" s="3">
        <f>IF(G55&gt;=6,6, G55)</f>
        <v>2.44140625</v>
      </c>
      <c r="K55" s="3">
        <f>6-J55</f>
        <v>3.55859375</v>
      </c>
      <c r="L55" t="s">
        <v>13</v>
      </c>
      <c r="M55">
        <v>40</v>
      </c>
    </row>
    <row r="56" spans="1:13" ht="12.95" customHeight="1" x14ac:dyDescent="0.2">
      <c r="A56">
        <v>61</v>
      </c>
      <c r="B56" t="s">
        <v>130</v>
      </c>
      <c r="C56" t="s">
        <v>10</v>
      </c>
      <c r="D56" t="s">
        <v>131</v>
      </c>
      <c r="E56">
        <v>358.1</v>
      </c>
      <c r="F56" t="s">
        <v>12</v>
      </c>
      <c r="G56" s="2">
        <f>750/E56</f>
        <v>2.0943870427254954</v>
      </c>
      <c r="H56">
        <v>2.14</v>
      </c>
      <c r="I56">
        <v>2.2599999999999998</v>
      </c>
      <c r="J56" s="3">
        <f>IF(G56&gt;=6,6, G56)</f>
        <v>2.0943870427254954</v>
      </c>
      <c r="K56" s="3">
        <f>6-J56</f>
        <v>3.9056129572745046</v>
      </c>
      <c r="L56" t="s">
        <v>13</v>
      </c>
      <c r="M56">
        <v>40</v>
      </c>
    </row>
    <row r="57" spans="1:13" ht="12.95" customHeight="1" x14ac:dyDescent="0.2">
      <c r="A57">
        <v>62</v>
      </c>
      <c r="B57" t="s">
        <v>132</v>
      </c>
      <c r="C57" t="s">
        <v>10</v>
      </c>
      <c r="D57" t="s">
        <v>133</v>
      </c>
      <c r="E57">
        <v>340.3</v>
      </c>
      <c r="F57" t="s">
        <v>12</v>
      </c>
      <c r="G57" s="2">
        <f>750/E57</f>
        <v>2.2039377020276225</v>
      </c>
      <c r="H57">
        <v>2.15</v>
      </c>
      <c r="I57">
        <v>1.77</v>
      </c>
      <c r="J57" s="3">
        <f>IF(G57&gt;=6,6, G57)</f>
        <v>2.2039377020276225</v>
      </c>
      <c r="K57" s="3">
        <f>6-J57</f>
        <v>3.7960622979723775</v>
      </c>
      <c r="L57" t="s">
        <v>13</v>
      </c>
      <c r="M57">
        <v>40</v>
      </c>
    </row>
    <row r="58" spans="1:13" ht="12.95" customHeight="1" x14ac:dyDescent="0.2">
      <c r="A58">
        <v>63</v>
      </c>
      <c r="B58" t="s">
        <v>134</v>
      </c>
      <c r="C58" t="s">
        <v>10</v>
      </c>
      <c r="D58" t="s">
        <v>135</v>
      </c>
      <c r="E58">
        <v>183.9</v>
      </c>
      <c r="F58" t="s">
        <v>12</v>
      </c>
      <c r="G58" s="2">
        <f>750/E58</f>
        <v>4.0783034257748776</v>
      </c>
      <c r="H58">
        <v>2.12</v>
      </c>
      <c r="I58">
        <v>1.92</v>
      </c>
      <c r="J58" s="3">
        <f>IF(G58&gt;=6,6, G58)</f>
        <v>4.0783034257748776</v>
      </c>
      <c r="K58" s="3">
        <f>6-J58</f>
        <v>1.9216965742251224</v>
      </c>
      <c r="L58" t="s">
        <v>13</v>
      </c>
      <c r="M58">
        <v>40</v>
      </c>
    </row>
    <row r="59" spans="1:13" ht="12.95" customHeight="1" x14ac:dyDescent="0.2">
      <c r="A59">
        <v>64</v>
      </c>
      <c r="B59" t="s">
        <v>136</v>
      </c>
      <c r="C59" t="s">
        <v>10</v>
      </c>
      <c r="D59" t="s">
        <v>137</v>
      </c>
      <c r="E59">
        <v>239</v>
      </c>
      <c r="F59" t="s">
        <v>12</v>
      </c>
      <c r="G59" s="2">
        <f>750/E59</f>
        <v>3.1380753138075312</v>
      </c>
      <c r="H59">
        <v>2.1</v>
      </c>
      <c r="I59">
        <v>2.0299999999999998</v>
      </c>
      <c r="J59" s="3">
        <f>IF(G59&gt;=6,6, G59)</f>
        <v>3.1380753138075312</v>
      </c>
      <c r="K59" s="3">
        <f>6-J59</f>
        <v>2.8619246861924688</v>
      </c>
      <c r="L59" t="s">
        <v>13</v>
      </c>
      <c r="M59">
        <v>40</v>
      </c>
    </row>
    <row r="60" spans="1:13" ht="12.95" customHeight="1" x14ac:dyDescent="0.2">
      <c r="A60">
        <v>65</v>
      </c>
      <c r="B60" t="s">
        <v>138</v>
      </c>
      <c r="C60" t="s">
        <v>10</v>
      </c>
      <c r="D60" t="s">
        <v>139</v>
      </c>
      <c r="E60">
        <v>369.3</v>
      </c>
      <c r="F60" t="s">
        <v>12</v>
      </c>
      <c r="G60" s="2">
        <f>750/E60</f>
        <v>2.0308692120227456</v>
      </c>
      <c r="H60">
        <v>2.15</v>
      </c>
      <c r="I60">
        <v>2.21</v>
      </c>
      <c r="J60" s="3">
        <f>IF(G60&gt;=6,6, G60)</f>
        <v>2.0308692120227456</v>
      </c>
      <c r="K60" s="3">
        <f>6-J60</f>
        <v>3.9691307879772544</v>
      </c>
      <c r="L60" t="s">
        <v>13</v>
      </c>
      <c r="M60">
        <v>40</v>
      </c>
    </row>
    <row r="61" spans="1:13" ht="12.95" customHeight="1" x14ac:dyDescent="0.2">
      <c r="A61">
        <v>66</v>
      </c>
      <c r="B61" t="s">
        <v>140</v>
      </c>
      <c r="C61" t="s">
        <v>10</v>
      </c>
      <c r="D61" t="s">
        <v>141</v>
      </c>
      <c r="E61">
        <v>226.1</v>
      </c>
      <c r="F61" t="s">
        <v>12</v>
      </c>
      <c r="G61" s="2">
        <f>750/E61</f>
        <v>3.3171163202122957</v>
      </c>
      <c r="H61">
        <v>2.06</v>
      </c>
      <c r="I61">
        <v>1.48</v>
      </c>
      <c r="J61" s="3">
        <f>IF(G61&gt;=6,6, G61)</f>
        <v>3.3171163202122957</v>
      </c>
      <c r="K61" s="3">
        <f>6-J61</f>
        <v>2.6828836797877043</v>
      </c>
      <c r="L61" t="s">
        <v>13</v>
      </c>
      <c r="M61">
        <v>40</v>
      </c>
    </row>
    <row r="62" spans="1:13" ht="12.95" customHeight="1" x14ac:dyDescent="0.2">
      <c r="A62">
        <v>67</v>
      </c>
      <c r="B62" t="s">
        <v>142</v>
      </c>
      <c r="C62" t="s">
        <v>10</v>
      </c>
      <c r="D62" t="s">
        <v>143</v>
      </c>
      <c r="E62">
        <v>318</v>
      </c>
      <c r="F62" t="s">
        <v>12</v>
      </c>
      <c r="G62" s="2">
        <f>750/E62</f>
        <v>2.358490566037736</v>
      </c>
      <c r="H62">
        <v>2.11</v>
      </c>
      <c r="I62">
        <v>1.71</v>
      </c>
      <c r="J62" s="3">
        <f>IF(G62&gt;=6,6, G62)</f>
        <v>2.358490566037736</v>
      </c>
      <c r="K62" s="3">
        <f>6-J62</f>
        <v>3.641509433962264</v>
      </c>
      <c r="L62" t="s">
        <v>13</v>
      </c>
      <c r="M62">
        <v>40</v>
      </c>
    </row>
    <row r="63" spans="1:13" ht="12.95" customHeight="1" x14ac:dyDescent="0.2">
      <c r="A63">
        <v>68</v>
      </c>
      <c r="B63" t="s">
        <v>144</v>
      </c>
      <c r="C63" t="s">
        <v>10</v>
      </c>
      <c r="D63" t="s">
        <v>145</v>
      </c>
      <c r="E63">
        <v>190.3</v>
      </c>
      <c r="F63" t="s">
        <v>12</v>
      </c>
      <c r="G63" s="2">
        <f>750/E63</f>
        <v>3.9411455596426692</v>
      </c>
      <c r="H63">
        <v>2.11</v>
      </c>
      <c r="I63">
        <v>1.31</v>
      </c>
      <c r="J63" s="3">
        <f>IF(G63&gt;=6,6, G63)</f>
        <v>3.9411455596426692</v>
      </c>
      <c r="K63" s="3">
        <f>6-J63</f>
        <v>2.0588544403573308</v>
      </c>
      <c r="L63" t="s">
        <v>13</v>
      </c>
      <c r="M63">
        <v>40</v>
      </c>
    </row>
    <row r="64" spans="1:13" ht="12.95" customHeight="1" x14ac:dyDescent="0.2">
      <c r="A64">
        <v>69</v>
      </c>
      <c r="B64" t="s">
        <v>146</v>
      </c>
      <c r="C64" t="s">
        <v>10</v>
      </c>
      <c r="D64" t="s">
        <v>147</v>
      </c>
      <c r="E64">
        <v>238.5</v>
      </c>
      <c r="F64" t="s">
        <v>12</v>
      </c>
      <c r="G64" s="2">
        <f>750/E64</f>
        <v>3.1446540880503147</v>
      </c>
      <c r="H64">
        <v>2.1</v>
      </c>
      <c r="I64">
        <v>1.89</v>
      </c>
      <c r="J64" s="3">
        <f>IF(G64&gt;=6,6, G64)</f>
        <v>3.1446540880503147</v>
      </c>
      <c r="K64" s="3">
        <f>6-J64</f>
        <v>2.8553459119496853</v>
      </c>
      <c r="L64" t="s">
        <v>13</v>
      </c>
      <c r="M64">
        <v>40</v>
      </c>
    </row>
    <row r="65" spans="1:13" ht="12.95" customHeight="1" x14ac:dyDescent="0.2">
      <c r="A65">
        <v>70</v>
      </c>
      <c r="B65" t="s">
        <v>148</v>
      </c>
      <c r="C65" t="s">
        <v>10</v>
      </c>
      <c r="D65" t="s">
        <v>149</v>
      </c>
      <c r="E65">
        <v>235.8</v>
      </c>
      <c r="F65" t="s">
        <v>12</v>
      </c>
      <c r="G65" s="2">
        <f>750/E65</f>
        <v>3.1806615776081424</v>
      </c>
      <c r="H65">
        <v>2.13</v>
      </c>
      <c r="I65">
        <v>1.83</v>
      </c>
      <c r="J65" s="3">
        <f>IF(G65&gt;=6,6, G65)</f>
        <v>3.1806615776081424</v>
      </c>
      <c r="K65" s="3">
        <f>6-J65</f>
        <v>2.8193384223918576</v>
      </c>
      <c r="L65" t="s">
        <v>13</v>
      </c>
      <c r="M65">
        <v>40</v>
      </c>
    </row>
    <row r="66" spans="1:13" ht="12.95" customHeight="1" x14ac:dyDescent="0.2">
      <c r="A66">
        <v>71</v>
      </c>
      <c r="B66" t="s">
        <v>150</v>
      </c>
      <c r="C66" t="s">
        <v>10</v>
      </c>
      <c r="D66" t="s">
        <v>151</v>
      </c>
      <c r="E66">
        <v>271.10000000000002</v>
      </c>
      <c r="F66" t="s">
        <v>12</v>
      </c>
      <c r="G66" s="2">
        <f>750/E66</f>
        <v>2.7665068240501656</v>
      </c>
      <c r="H66">
        <v>2.16</v>
      </c>
      <c r="I66">
        <v>1.81</v>
      </c>
      <c r="J66" s="3">
        <f>IF(G66&gt;=6,6, G66)</f>
        <v>2.7665068240501656</v>
      </c>
      <c r="K66" s="3">
        <f>6-J66</f>
        <v>3.2334931759498344</v>
      </c>
      <c r="L66" t="s">
        <v>13</v>
      </c>
      <c r="M66">
        <v>40</v>
      </c>
    </row>
    <row r="67" spans="1:13" ht="12.95" customHeight="1" x14ac:dyDescent="0.2">
      <c r="A67">
        <v>72</v>
      </c>
      <c r="B67" t="s">
        <v>152</v>
      </c>
      <c r="C67" t="s">
        <v>10</v>
      </c>
      <c r="D67" t="s">
        <v>153</v>
      </c>
      <c r="E67">
        <v>327.10000000000002</v>
      </c>
      <c r="F67" t="s">
        <v>12</v>
      </c>
      <c r="G67" s="2">
        <f>750/E67</f>
        <v>2.2928767960868233</v>
      </c>
      <c r="H67">
        <v>2.14</v>
      </c>
      <c r="I67">
        <v>2.1800000000000002</v>
      </c>
      <c r="J67" s="3">
        <f>IF(G67&gt;=6,6, G67)</f>
        <v>2.2928767960868233</v>
      </c>
      <c r="K67" s="3">
        <f>6-J67</f>
        <v>3.7071232039131767</v>
      </c>
      <c r="L67" t="s">
        <v>13</v>
      </c>
      <c r="M67">
        <v>40</v>
      </c>
    </row>
    <row r="68" spans="1:13" ht="12.95" customHeight="1" x14ac:dyDescent="0.2">
      <c r="A68">
        <v>73</v>
      </c>
      <c r="B68" s="13" t="s">
        <v>154</v>
      </c>
      <c r="C68" t="s">
        <v>10</v>
      </c>
      <c r="D68" t="s">
        <v>155</v>
      </c>
      <c r="E68">
        <v>254</v>
      </c>
      <c r="F68" t="s">
        <v>12</v>
      </c>
      <c r="G68" s="2">
        <f>750/E68</f>
        <v>2.9527559055118111</v>
      </c>
      <c r="H68">
        <v>2.16</v>
      </c>
      <c r="I68">
        <v>1.52</v>
      </c>
      <c r="J68" s="3">
        <f>IF(G68&gt;=6,6, G68)</f>
        <v>2.9527559055118111</v>
      </c>
      <c r="K68" s="3">
        <f>6-J68</f>
        <v>3.0472440944881889</v>
      </c>
      <c r="L68" t="s">
        <v>13</v>
      </c>
      <c r="M68">
        <v>40</v>
      </c>
    </row>
    <row r="69" spans="1:13" ht="12.95" customHeight="1" x14ac:dyDescent="0.2">
      <c r="A69">
        <v>74</v>
      </c>
      <c r="B69" t="s">
        <v>156</v>
      </c>
      <c r="C69" t="s">
        <v>10</v>
      </c>
      <c r="D69" t="s">
        <v>157</v>
      </c>
      <c r="E69">
        <v>278.89999999999998</v>
      </c>
      <c r="F69" t="s">
        <v>12</v>
      </c>
      <c r="G69" s="2">
        <f>750/E69</f>
        <v>2.6891358910003587</v>
      </c>
      <c r="H69">
        <v>2.14</v>
      </c>
      <c r="I69">
        <v>0.61</v>
      </c>
      <c r="J69" s="3">
        <f>IF(G69&gt;=6,6, G69)</f>
        <v>2.6891358910003587</v>
      </c>
      <c r="K69" s="3">
        <f>6-J69</f>
        <v>3.3108641089996413</v>
      </c>
      <c r="L69" t="s">
        <v>13</v>
      </c>
      <c r="M69">
        <v>40</v>
      </c>
    </row>
    <row r="70" spans="1:13" ht="12.95" customHeight="1" x14ac:dyDescent="0.2">
      <c r="A70">
        <v>75</v>
      </c>
      <c r="B70" t="s">
        <v>158</v>
      </c>
      <c r="C70" t="s">
        <v>10</v>
      </c>
      <c r="D70" t="s">
        <v>159</v>
      </c>
      <c r="E70">
        <v>265.3</v>
      </c>
      <c r="F70" t="s">
        <v>12</v>
      </c>
      <c r="G70" s="2">
        <f>750/E70</f>
        <v>2.826988315114964</v>
      </c>
      <c r="H70">
        <v>2.15</v>
      </c>
      <c r="I70">
        <v>2.0099999999999998</v>
      </c>
      <c r="J70" s="3">
        <f>IF(G70&gt;=6,6, G70)</f>
        <v>2.826988315114964</v>
      </c>
      <c r="K70" s="3">
        <f>6-J70</f>
        <v>3.173011684885036</v>
      </c>
      <c r="L70" t="s">
        <v>13</v>
      </c>
      <c r="M70">
        <v>40</v>
      </c>
    </row>
    <row r="71" spans="1:13" ht="12.95" customHeight="1" x14ac:dyDescent="0.2">
      <c r="A71">
        <v>76</v>
      </c>
      <c r="B71" t="s">
        <v>160</v>
      </c>
      <c r="C71" t="s">
        <v>10</v>
      </c>
      <c r="D71" t="s">
        <v>161</v>
      </c>
      <c r="E71">
        <v>300.7</v>
      </c>
      <c r="F71" t="s">
        <v>12</v>
      </c>
      <c r="G71" s="2">
        <f>750/E71</f>
        <v>2.4941802460924509</v>
      </c>
      <c r="H71">
        <v>2.08</v>
      </c>
      <c r="I71">
        <v>1.75</v>
      </c>
      <c r="J71" s="3">
        <f>IF(G71&gt;=6,6, G71)</f>
        <v>2.4941802460924509</v>
      </c>
      <c r="K71" s="3">
        <f>6-J71</f>
        <v>3.5058197539075491</v>
      </c>
      <c r="L71" t="s">
        <v>13</v>
      </c>
      <c r="M71">
        <v>40</v>
      </c>
    </row>
    <row r="72" spans="1:13" ht="12.95" customHeight="1" x14ac:dyDescent="0.2">
      <c r="A72">
        <v>77</v>
      </c>
      <c r="B72" t="s">
        <v>162</v>
      </c>
      <c r="C72" t="s">
        <v>10</v>
      </c>
      <c r="D72" t="s">
        <v>163</v>
      </c>
      <c r="E72">
        <v>248.9</v>
      </c>
      <c r="F72" t="s">
        <v>12</v>
      </c>
      <c r="G72" s="2">
        <f>750/E72</f>
        <v>3.0132583366813979</v>
      </c>
      <c r="H72">
        <v>2.17</v>
      </c>
      <c r="I72">
        <v>0.87</v>
      </c>
      <c r="J72" s="3">
        <f>IF(G72&gt;=6,6, G72)</f>
        <v>3.0132583366813979</v>
      </c>
      <c r="K72" s="3">
        <f>6-J72</f>
        <v>2.9867416633186021</v>
      </c>
      <c r="L72" t="s">
        <v>13</v>
      </c>
      <c r="M72">
        <v>40</v>
      </c>
    </row>
    <row r="73" spans="1:13" ht="12.95" customHeight="1" x14ac:dyDescent="0.2">
      <c r="A73">
        <v>78</v>
      </c>
      <c r="B73" t="s">
        <v>164</v>
      </c>
      <c r="C73" t="s">
        <v>10</v>
      </c>
      <c r="D73" t="s">
        <v>165</v>
      </c>
      <c r="E73">
        <v>523.6</v>
      </c>
      <c r="F73" t="s">
        <v>12</v>
      </c>
      <c r="G73" s="2">
        <f>750/E73</f>
        <v>1.4323911382734911</v>
      </c>
      <c r="H73">
        <v>2.14</v>
      </c>
      <c r="I73">
        <v>1.84</v>
      </c>
      <c r="J73" s="3">
        <f>IF(G73&gt;=6,6, G73)</f>
        <v>1.4323911382734911</v>
      </c>
      <c r="K73" s="3">
        <f>6-J73</f>
        <v>4.5676088617265087</v>
      </c>
      <c r="L73" t="s">
        <v>13</v>
      </c>
      <c r="M73">
        <v>40</v>
      </c>
    </row>
    <row r="74" spans="1:13" ht="12.95" customHeight="1" x14ac:dyDescent="0.2">
      <c r="A74">
        <v>79</v>
      </c>
      <c r="B74" s="13" t="s">
        <v>166</v>
      </c>
      <c r="C74" t="s">
        <v>10</v>
      </c>
      <c r="D74" t="s">
        <v>167</v>
      </c>
      <c r="E74">
        <v>75.2</v>
      </c>
      <c r="F74" t="s">
        <v>12</v>
      </c>
      <c r="G74" s="2">
        <f>750/E74</f>
        <v>9.9734042553191493</v>
      </c>
      <c r="H74">
        <v>2.15</v>
      </c>
      <c r="I74">
        <v>0.46</v>
      </c>
      <c r="J74" s="3">
        <f>IF(G74&gt;=6,6, G74)</f>
        <v>6</v>
      </c>
      <c r="K74" s="3">
        <f>6-J74</f>
        <v>0</v>
      </c>
      <c r="L74" t="s">
        <v>13</v>
      </c>
      <c r="M74">
        <v>40</v>
      </c>
    </row>
    <row r="75" spans="1:13" ht="12.95" customHeight="1" x14ac:dyDescent="0.2">
      <c r="A75">
        <v>80</v>
      </c>
      <c r="B75" t="s">
        <v>168</v>
      </c>
      <c r="C75" t="s">
        <v>10</v>
      </c>
      <c r="D75" t="s">
        <v>169</v>
      </c>
      <c r="E75">
        <v>249.7</v>
      </c>
      <c r="F75" t="s">
        <v>12</v>
      </c>
      <c r="G75" s="2">
        <f>750/E75</f>
        <v>3.0036043251902282</v>
      </c>
      <c r="H75">
        <v>2.12</v>
      </c>
      <c r="I75">
        <v>1.51</v>
      </c>
      <c r="J75" s="3">
        <f>IF(G75&gt;=6,6, G75)</f>
        <v>3.0036043251902282</v>
      </c>
      <c r="K75" s="3">
        <f>6-J75</f>
        <v>2.9963956748097718</v>
      </c>
      <c r="L75" t="s">
        <v>13</v>
      </c>
      <c r="M75">
        <v>40</v>
      </c>
    </row>
    <row r="76" spans="1:13" ht="12.95" customHeight="1" x14ac:dyDescent="0.2">
      <c r="A76">
        <v>81</v>
      </c>
      <c r="B76" t="s">
        <v>170</v>
      </c>
      <c r="C76" t="s">
        <v>10</v>
      </c>
      <c r="D76" t="s">
        <v>171</v>
      </c>
      <c r="E76">
        <v>331.4</v>
      </c>
      <c r="F76" t="s">
        <v>12</v>
      </c>
      <c r="G76" s="2">
        <f>750/E76</f>
        <v>2.263126131563066</v>
      </c>
      <c r="H76">
        <v>2.14</v>
      </c>
      <c r="I76">
        <v>1.92</v>
      </c>
      <c r="J76" s="3">
        <f>IF(G76&gt;=6,6, G76)</f>
        <v>2.263126131563066</v>
      </c>
      <c r="K76" s="3">
        <f>6-J76</f>
        <v>3.736873868436934</v>
      </c>
      <c r="L76" t="s">
        <v>13</v>
      </c>
      <c r="M76">
        <v>40</v>
      </c>
    </row>
    <row r="77" spans="1:13" s="13" customFormat="1" ht="12.95" customHeight="1" x14ac:dyDescent="0.2">
      <c r="A77" s="13">
        <v>82</v>
      </c>
      <c r="B77" s="13" t="s">
        <v>172</v>
      </c>
      <c r="C77" s="13" t="s">
        <v>10</v>
      </c>
      <c r="D77" s="13" t="s">
        <v>173</v>
      </c>
      <c r="E77" s="13">
        <v>235.4</v>
      </c>
      <c r="F77" s="13" t="s">
        <v>12</v>
      </c>
      <c r="G77" s="21">
        <f>750/E77</f>
        <v>3.1860662701784195</v>
      </c>
      <c r="H77" s="13">
        <v>2.15</v>
      </c>
      <c r="I77" s="13">
        <v>1.43</v>
      </c>
      <c r="J77" s="22">
        <f>IF(G77&gt;=6,6, G77)</f>
        <v>3.1860662701784195</v>
      </c>
      <c r="K77" s="22">
        <f>6-J77</f>
        <v>2.8139337298215805</v>
      </c>
      <c r="L77" s="13" t="s">
        <v>13</v>
      </c>
      <c r="M77" s="13">
        <v>40</v>
      </c>
    </row>
    <row r="78" spans="1:13" ht="12.95" customHeight="1" x14ac:dyDescent="0.2">
      <c r="A78">
        <v>83</v>
      </c>
      <c r="B78" t="s">
        <v>174</v>
      </c>
      <c r="C78" t="s">
        <v>10</v>
      </c>
      <c r="D78" t="s">
        <v>175</v>
      </c>
      <c r="E78">
        <v>409.9</v>
      </c>
      <c r="F78" t="s">
        <v>12</v>
      </c>
      <c r="G78" s="2">
        <f>750/E78</f>
        <v>1.8297145645279338</v>
      </c>
      <c r="H78">
        <v>2.15</v>
      </c>
      <c r="I78">
        <v>2.13</v>
      </c>
      <c r="J78" s="3">
        <f>IF(G78&gt;=6,6, G78)</f>
        <v>1.8297145645279338</v>
      </c>
      <c r="K78" s="3">
        <f>6-J78</f>
        <v>4.1702854354720662</v>
      </c>
      <c r="L78" t="s">
        <v>13</v>
      </c>
      <c r="M78">
        <v>40</v>
      </c>
    </row>
    <row r="79" spans="1:13" ht="12.95" customHeight="1" x14ac:dyDescent="0.2">
      <c r="A79">
        <v>84</v>
      </c>
      <c r="B79" t="s">
        <v>176</v>
      </c>
      <c r="C79" t="s">
        <v>10</v>
      </c>
      <c r="D79" t="s">
        <v>177</v>
      </c>
      <c r="E79">
        <v>163.1</v>
      </c>
      <c r="F79" t="s">
        <v>12</v>
      </c>
      <c r="G79" s="2">
        <f>750/E79</f>
        <v>4.5984058859595338</v>
      </c>
      <c r="H79">
        <v>2.14</v>
      </c>
      <c r="I79">
        <v>0.82</v>
      </c>
      <c r="J79" s="3">
        <f>IF(G79&gt;=6,6, G79)</f>
        <v>4.5984058859595338</v>
      </c>
      <c r="K79" s="3">
        <f>6-J79</f>
        <v>1.4015941140404662</v>
      </c>
      <c r="L79" t="s">
        <v>13</v>
      </c>
      <c r="M79">
        <v>40</v>
      </c>
    </row>
    <row r="80" spans="1:13" ht="12.95" customHeight="1" x14ac:dyDescent="0.2">
      <c r="A80">
        <v>85</v>
      </c>
      <c r="B80" t="s">
        <v>178</v>
      </c>
      <c r="C80" t="s">
        <v>10</v>
      </c>
      <c r="D80" t="s">
        <v>179</v>
      </c>
      <c r="E80">
        <v>293.5</v>
      </c>
      <c r="F80" t="s">
        <v>12</v>
      </c>
      <c r="G80" s="2">
        <f>750/E80</f>
        <v>2.5553662691652472</v>
      </c>
      <c r="H80">
        <v>2.13</v>
      </c>
      <c r="I80">
        <v>2.19</v>
      </c>
      <c r="J80" s="3">
        <f>IF(G80&gt;=6,6, G80)</f>
        <v>2.5553662691652472</v>
      </c>
      <c r="K80" s="3">
        <f>6-J80</f>
        <v>3.4446337308347528</v>
      </c>
      <c r="L80" t="s">
        <v>13</v>
      </c>
      <c r="M80">
        <v>40</v>
      </c>
    </row>
    <row r="81" spans="1:13" ht="12.95" customHeight="1" x14ac:dyDescent="0.2">
      <c r="A81">
        <v>86</v>
      </c>
      <c r="B81" t="s">
        <v>180</v>
      </c>
      <c r="C81" t="s">
        <v>10</v>
      </c>
      <c r="D81" t="s">
        <v>181</v>
      </c>
      <c r="E81">
        <v>177.7</v>
      </c>
      <c r="F81" t="s">
        <v>12</v>
      </c>
      <c r="G81" s="2">
        <f>750/E81</f>
        <v>4.220596510973551</v>
      </c>
      <c r="H81">
        <v>2.19</v>
      </c>
      <c r="I81">
        <v>0.93</v>
      </c>
      <c r="J81" s="3">
        <f>IF(G81&gt;=6,6, G81)</f>
        <v>4.220596510973551</v>
      </c>
      <c r="K81" s="3">
        <f>6-J81</f>
        <v>1.779403489026449</v>
      </c>
      <c r="L81" t="s">
        <v>13</v>
      </c>
      <c r="M81">
        <v>40</v>
      </c>
    </row>
    <row r="82" spans="1:13" ht="12.95" customHeight="1" x14ac:dyDescent="0.2">
      <c r="A82">
        <v>87</v>
      </c>
      <c r="B82" t="s">
        <v>182</v>
      </c>
      <c r="C82" t="s">
        <v>10</v>
      </c>
      <c r="D82" t="s">
        <v>183</v>
      </c>
      <c r="E82">
        <v>115.1</v>
      </c>
      <c r="F82" t="s">
        <v>12</v>
      </c>
      <c r="G82" s="2">
        <f>750/E82</f>
        <v>6.5160729800173769</v>
      </c>
      <c r="H82">
        <v>2.1</v>
      </c>
      <c r="I82">
        <v>1.1499999999999999</v>
      </c>
      <c r="J82" s="3">
        <f>IF(G82&gt;=6,6, G82)</f>
        <v>6</v>
      </c>
      <c r="K82" s="3">
        <f>6-J82</f>
        <v>0</v>
      </c>
      <c r="L82" t="s">
        <v>13</v>
      </c>
      <c r="M82">
        <v>40</v>
      </c>
    </row>
    <row r="83" spans="1:13" ht="12.95" customHeight="1" x14ac:dyDescent="0.2">
      <c r="A83">
        <v>88</v>
      </c>
      <c r="B83" t="s">
        <v>184</v>
      </c>
      <c r="C83" t="s">
        <v>10</v>
      </c>
      <c r="D83" t="s">
        <v>185</v>
      </c>
      <c r="E83">
        <v>277.10000000000002</v>
      </c>
      <c r="F83" t="s">
        <v>12</v>
      </c>
      <c r="G83" s="2">
        <f>750/E83</f>
        <v>2.7066041140382531</v>
      </c>
      <c r="H83">
        <v>2.15</v>
      </c>
      <c r="I83">
        <v>1.3</v>
      </c>
      <c r="J83" s="3">
        <f>IF(G83&gt;=6,6, G83)</f>
        <v>2.7066041140382531</v>
      </c>
      <c r="K83" s="3">
        <f>6-J83</f>
        <v>3.2933958859617469</v>
      </c>
      <c r="L83" t="s">
        <v>13</v>
      </c>
      <c r="M83">
        <v>40</v>
      </c>
    </row>
    <row r="84" spans="1:13" ht="12.95" customHeight="1" x14ac:dyDescent="0.2">
      <c r="A84">
        <v>89</v>
      </c>
      <c r="B84" t="s">
        <v>186</v>
      </c>
      <c r="C84" t="s">
        <v>10</v>
      </c>
      <c r="D84" t="s">
        <v>187</v>
      </c>
      <c r="E84">
        <v>125.9</v>
      </c>
      <c r="F84" t="s">
        <v>12</v>
      </c>
      <c r="G84" s="2">
        <f>750/E84</f>
        <v>5.957108816521048</v>
      </c>
      <c r="H84">
        <v>2.17</v>
      </c>
      <c r="I84">
        <v>0.36</v>
      </c>
      <c r="J84" s="3">
        <f>IF(G84&gt;=6,6, G84)</f>
        <v>5.957108816521048</v>
      </c>
      <c r="K84" s="3">
        <f>6-J84</f>
        <v>4.2891183478952044E-2</v>
      </c>
      <c r="L84" t="s">
        <v>13</v>
      </c>
      <c r="M84">
        <v>40</v>
      </c>
    </row>
    <row r="85" spans="1:13" ht="12.95" customHeight="1" x14ac:dyDescent="0.2">
      <c r="A85">
        <v>90</v>
      </c>
      <c r="B85" t="s">
        <v>188</v>
      </c>
      <c r="C85" t="s">
        <v>10</v>
      </c>
      <c r="D85" t="s">
        <v>189</v>
      </c>
      <c r="E85">
        <v>63.3</v>
      </c>
      <c r="F85" t="s">
        <v>12</v>
      </c>
      <c r="G85" s="2">
        <f>750/E85</f>
        <v>11.848341232227488</v>
      </c>
      <c r="H85">
        <v>2.0499999999999998</v>
      </c>
      <c r="I85">
        <v>0.53</v>
      </c>
      <c r="J85" s="3">
        <f>IF(G85&gt;=6,6, G85)</f>
        <v>6</v>
      </c>
      <c r="K85" s="3">
        <f>6-J85</f>
        <v>0</v>
      </c>
      <c r="L85" t="s">
        <v>13</v>
      </c>
      <c r="M85">
        <v>40</v>
      </c>
    </row>
    <row r="86" spans="1:13" ht="12.95" customHeight="1" x14ac:dyDescent="0.2">
      <c r="A86">
        <v>91</v>
      </c>
      <c r="B86" t="s">
        <v>190</v>
      </c>
      <c r="C86" t="s">
        <v>10</v>
      </c>
      <c r="D86" t="s">
        <v>191</v>
      </c>
      <c r="E86">
        <v>348.7</v>
      </c>
      <c r="F86" t="s">
        <v>12</v>
      </c>
      <c r="G86" s="2">
        <f>750/E86</f>
        <v>2.1508459994264411</v>
      </c>
      <c r="H86">
        <v>2.11</v>
      </c>
      <c r="I86">
        <v>1.9</v>
      </c>
      <c r="J86" s="3">
        <f>IF(G86&gt;=6,6, G86)</f>
        <v>2.1508459994264411</v>
      </c>
      <c r="K86" s="3">
        <f>6-J86</f>
        <v>3.8491540005735589</v>
      </c>
      <c r="L86" t="s">
        <v>13</v>
      </c>
      <c r="M86">
        <v>40</v>
      </c>
    </row>
    <row r="87" spans="1:13" ht="12.95" customHeight="1" x14ac:dyDescent="0.2">
      <c r="A87">
        <v>92</v>
      </c>
      <c r="B87" t="s">
        <v>192</v>
      </c>
      <c r="C87" t="s">
        <v>10</v>
      </c>
      <c r="D87" t="s">
        <v>193</v>
      </c>
      <c r="E87">
        <v>89.3</v>
      </c>
      <c r="F87" t="s">
        <v>12</v>
      </c>
      <c r="G87" s="2">
        <f>750/E87</f>
        <v>8.3986562150055999</v>
      </c>
      <c r="H87">
        <v>1.98</v>
      </c>
      <c r="I87">
        <v>0.71</v>
      </c>
      <c r="J87" s="3">
        <f>IF(G87&gt;=6,6, G87)</f>
        <v>6</v>
      </c>
      <c r="K87" s="3">
        <f>6-J87</f>
        <v>0</v>
      </c>
      <c r="L87" t="s">
        <v>13</v>
      </c>
      <c r="M87">
        <v>40</v>
      </c>
    </row>
    <row r="88" spans="1:13" ht="12.95" customHeight="1" x14ac:dyDescent="0.2">
      <c r="A88">
        <v>94</v>
      </c>
      <c r="B88" t="s">
        <v>196</v>
      </c>
      <c r="C88" t="s">
        <v>10</v>
      </c>
      <c r="D88" t="s">
        <v>197</v>
      </c>
      <c r="E88">
        <v>317.7</v>
      </c>
      <c r="F88" t="s">
        <v>12</v>
      </c>
      <c r="G88" s="2">
        <f>750/E88</f>
        <v>2.3607176581680833</v>
      </c>
      <c r="H88">
        <v>2.09</v>
      </c>
      <c r="I88">
        <v>1.25</v>
      </c>
      <c r="J88" s="3">
        <f>IF(G88&gt;=6,6, G88)</f>
        <v>2.3607176581680833</v>
      </c>
      <c r="K88" s="3">
        <f>6-J88</f>
        <v>3.6392823418319167</v>
      </c>
      <c r="L88" t="s">
        <v>13</v>
      </c>
      <c r="M88">
        <v>40</v>
      </c>
    </row>
    <row r="89" spans="1:13" ht="12.95" customHeight="1" x14ac:dyDescent="0.2">
      <c r="A89">
        <v>96</v>
      </c>
      <c r="B89" t="s">
        <v>200</v>
      </c>
      <c r="C89" t="s">
        <v>10</v>
      </c>
      <c r="D89" t="s">
        <v>201</v>
      </c>
      <c r="E89">
        <v>223.2</v>
      </c>
      <c r="F89" t="s">
        <v>12</v>
      </c>
      <c r="G89" s="2">
        <f>750/E89</f>
        <v>3.360215053763441</v>
      </c>
      <c r="H89">
        <v>2.12</v>
      </c>
      <c r="I89">
        <v>1.73</v>
      </c>
      <c r="J89" s="3">
        <f>IF(G89&gt;=6,6, G89)</f>
        <v>3.360215053763441</v>
      </c>
      <c r="K89" s="3">
        <f>6-J89</f>
        <v>2.639784946236559</v>
      </c>
      <c r="L89" t="s">
        <v>13</v>
      </c>
      <c r="M89">
        <v>40</v>
      </c>
    </row>
    <row r="90" spans="1:13" ht="12.95" customHeight="1" x14ac:dyDescent="0.2">
      <c r="A90">
        <v>97</v>
      </c>
      <c r="B90" t="s">
        <v>202</v>
      </c>
      <c r="C90" t="s">
        <v>10</v>
      </c>
      <c r="D90" t="s">
        <v>203</v>
      </c>
      <c r="E90">
        <v>278.8</v>
      </c>
      <c r="F90" t="s">
        <v>12</v>
      </c>
      <c r="G90" s="2">
        <f>750/E90</f>
        <v>2.6901004304160687</v>
      </c>
      <c r="H90">
        <v>2.13</v>
      </c>
      <c r="I90">
        <v>0.77</v>
      </c>
      <c r="J90" s="3">
        <f>IF(G90&gt;=6,6, G90)</f>
        <v>2.6901004304160687</v>
      </c>
      <c r="K90" s="3">
        <f>6-J90</f>
        <v>3.3098995695839313</v>
      </c>
      <c r="L90" t="s">
        <v>13</v>
      </c>
      <c r="M90">
        <v>40</v>
      </c>
    </row>
    <row r="91" spans="1:13" ht="12.95" customHeight="1" x14ac:dyDescent="0.2">
      <c r="A91">
        <v>98</v>
      </c>
      <c r="B91" t="s">
        <v>204</v>
      </c>
      <c r="C91" t="s">
        <v>10</v>
      </c>
      <c r="D91" t="s">
        <v>205</v>
      </c>
      <c r="E91">
        <v>213.3</v>
      </c>
      <c r="F91" t="s">
        <v>12</v>
      </c>
      <c r="G91" s="2">
        <f>750/E91</f>
        <v>3.5161744022503516</v>
      </c>
      <c r="H91">
        <v>2.11</v>
      </c>
      <c r="I91">
        <v>1.73</v>
      </c>
      <c r="J91" s="3">
        <f>IF(G91&gt;=6,6, G91)</f>
        <v>3.5161744022503516</v>
      </c>
      <c r="K91" s="3">
        <f>6-J91</f>
        <v>2.4838255977496484</v>
      </c>
      <c r="L91" t="s">
        <v>13</v>
      </c>
      <c r="M91">
        <v>40</v>
      </c>
    </row>
    <row r="92" spans="1:13" ht="12.95" customHeight="1" x14ac:dyDescent="0.2">
      <c r="A92">
        <v>99</v>
      </c>
      <c r="B92" t="s">
        <v>206</v>
      </c>
      <c r="C92" t="s">
        <v>10</v>
      </c>
      <c r="D92" t="s">
        <v>207</v>
      </c>
      <c r="E92">
        <v>258.89999999999998</v>
      </c>
      <c r="F92" t="s">
        <v>12</v>
      </c>
      <c r="G92" s="2">
        <f>750/E92</f>
        <v>2.8968713789107765</v>
      </c>
      <c r="H92">
        <v>2.12</v>
      </c>
      <c r="I92">
        <v>0.62</v>
      </c>
      <c r="J92" s="3">
        <f>IF(G92&gt;=6,6, G92)</f>
        <v>2.8968713789107765</v>
      </c>
      <c r="K92" s="3">
        <f>6-J92</f>
        <v>3.1031286210892235</v>
      </c>
      <c r="L92" t="s">
        <v>13</v>
      </c>
      <c r="M92">
        <v>40</v>
      </c>
    </row>
    <row r="93" spans="1:13" ht="12.95" customHeight="1" x14ac:dyDescent="0.2">
      <c r="A93">
        <v>100</v>
      </c>
      <c r="B93" t="s">
        <v>208</v>
      </c>
      <c r="C93" t="s">
        <v>10</v>
      </c>
      <c r="D93" t="s">
        <v>209</v>
      </c>
      <c r="E93">
        <v>151.80000000000001</v>
      </c>
      <c r="F93" t="s">
        <v>12</v>
      </c>
      <c r="G93" s="2">
        <f>750/E93</f>
        <v>4.9407114624505928</v>
      </c>
      <c r="H93">
        <v>2.08</v>
      </c>
      <c r="I93">
        <v>1.5</v>
      </c>
      <c r="J93" s="3">
        <f>IF(G93&gt;=6,6, G93)</f>
        <v>4.9407114624505928</v>
      </c>
      <c r="K93" s="3">
        <f>6-J93</f>
        <v>1.0592885375494072</v>
      </c>
      <c r="L93" t="s">
        <v>13</v>
      </c>
      <c r="M93">
        <v>40</v>
      </c>
    </row>
    <row r="94" spans="1:13" ht="12.95" customHeight="1" x14ac:dyDescent="0.2">
      <c r="A94">
        <v>101</v>
      </c>
      <c r="B94" t="s">
        <v>210</v>
      </c>
      <c r="C94" t="s">
        <v>10</v>
      </c>
      <c r="D94" t="s">
        <v>211</v>
      </c>
      <c r="E94">
        <v>111.7</v>
      </c>
      <c r="F94" t="s">
        <v>12</v>
      </c>
      <c r="G94" s="2">
        <f>750/E94</f>
        <v>6.714413607878245</v>
      </c>
      <c r="H94">
        <v>2.0299999999999998</v>
      </c>
      <c r="I94">
        <v>0.84</v>
      </c>
      <c r="J94" s="3">
        <f>IF(G94&gt;=6,6, G94)</f>
        <v>6</v>
      </c>
      <c r="K94" s="3">
        <f>6-J94</f>
        <v>0</v>
      </c>
      <c r="L94" t="s">
        <v>13</v>
      </c>
      <c r="M94">
        <v>40</v>
      </c>
    </row>
    <row r="95" spans="1:13" ht="12.95" customHeight="1" x14ac:dyDescent="0.2">
      <c r="A95">
        <v>103</v>
      </c>
      <c r="B95" t="s">
        <v>214</v>
      </c>
      <c r="C95" t="s">
        <v>10</v>
      </c>
      <c r="D95" t="s">
        <v>215</v>
      </c>
      <c r="E95">
        <v>234.4</v>
      </c>
      <c r="F95" t="s">
        <v>12</v>
      </c>
      <c r="G95" s="2">
        <f>750/E95</f>
        <v>3.1996587030716723</v>
      </c>
      <c r="H95">
        <v>2.08</v>
      </c>
      <c r="I95">
        <v>1.25</v>
      </c>
      <c r="J95" s="3">
        <f>IF(G95&gt;=6,6, G95)</f>
        <v>3.1996587030716723</v>
      </c>
      <c r="K95" s="3">
        <f>6-J95</f>
        <v>2.8003412969283277</v>
      </c>
      <c r="L95" t="s">
        <v>13</v>
      </c>
      <c r="M95">
        <v>40</v>
      </c>
    </row>
    <row r="96" spans="1:13" ht="12.95" customHeight="1" x14ac:dyDescent="0.2">
      <c r="A96">
        <v>104</v>
      </c>
      <c r="B96" t="s">
        <v>216</v>
      </c>
      <c r="C96" t="s">
        <v>10</v>
      </c>
      <c r="D96" t="s">
        <v>217</v>
      </c>
      <c r="E96">
        <v>172.3</v>
      </c>
      <c r="F96" t="s">
        <v>12</v>
      </c>
      <c r="G96" s="2">
        <f>750/E96</f>
        <v>4.3528728961114336</v>
      </c>
      <c r="H96">
        <v>2.13</v>
      </c>
      <c r="I96">
        <v>2.12</v>
      </c>
      <c r="J96" s="3">
        <f>IF(G96&gt;=6,6, G96)</f>
        <v>4.3528728961114336</v>
      </c>
      <c r="K96" s="3">
        <f>6-J96</f>
        <v>1.6471271038885664</v>
      </c>
      <c r="L96" t="s">
        <v>13</v>
      </c>
      <c r="M96">
        <v>40</v>
      </c>
    </row>
    <row r="97" spans="1:13" ht="12.95" customHeight="1" x14ac:dyDescent="0.2">
      <c r="A97">
        <v>105</v>
      </c>
      <c r="B97" t="s">
        <v>218</v>
      </c>
      <c r="C97" t="s">
        <v>10</v>
      </c>
      <c r="D97" t="s">
        <v>219</v>
      </c>
      <c r="E97">
        <v>90.1</v>
      </c>
      <c r="F97" t="s">
        <v>12</v>
      </c>
      <c r="G97" s="2">
        <f>750/E97</f>
        <v>8.3240843507214208</v>
      </c>
      <c r="H97">
        <v>2.1</v>
      </c>
      <c r="I97">
        <v>0.53</v>
      </c>
      <c r="J97" s="3">
        <f>IF(G97&gt;=6,6, G97)</f>
        <v>6</v>
      </c>
      <c r="K97" s="3">
        <f>6-J97</f>
        <v>0</v>
      </c>
      <c r="L97" t="s">
        <v>13</v>
      </c>
      <c r="M97">
        <v>40</v>
      </c>
    </row>
    <row r="98" spans="1:13" ht="12.95" customHeight="1" x14ac:dyDescent="0.2">
      <c r="A98">
        <v>106</v>
      </c>
      <c r="B98" s="13" t="s">
        <v>220</v>
      </c>
      <c r="C98" t="s">
        <v>10</v>
      </c>
      <c r="D98" t="s">
        <v>221</v>
      </c>
      <c r="E98">
        <v>174.9</v>
      </c>
      <c r="F98" t="s">
        <v>12</v>
      </c>
      <c r="G98" s="2">
        <f>750/E98</f>
        <v>4.2881646655231558</v>
      </c>
      <c r="H98">
        <v>2.08</v>
      </c>
      <c r="I98">
        <v>1.32</v>
      </c>
      <c r="J98" s="3">
        <f>IF(G98&gt;=6,6, G98)</f>
        <v>4.2881646655231558</v>
      </c>
      <c r="K98" s="3">
        <f>6-J98</f>
        <v>1.7118353344768442</v>
      </c>
      <c r="L98" t="s">
        <v>13</v>
      </c>
      <c r="M98">
        <v>40</v>
      </c>
    </row>
    <row r="99" spans="1:13" ht="12.95" customHeight="1" x14ac:dyDescent="0.2">
      <c r="A99">
        <v>107</v>
      </c>
      <c r="B99" t="s">
        <v>222</v>
      </c>
      <c r="C99" t="s">
        <v>10</v>
      </c>
      <c r="D99" t="s">
        <v>223</v>
      </c>
      <c r="E99">
        <v>158.80000000000001</v>
      </c>
      <c r="F99" t="s">
        <v>12</v>
      </c>
      <c r="G99" s="2">
        <f>750/E99</f>
        <v>4.7229219143576824</v>
      </c>
      <c r="H99">
        <v>2.08</v>
      </c>
      <c r="I99">
        <v>1.81</v>
      </c>
      <c r="J99" s="3">
        <f>IF(G99&gt;=6,6, G99)</f>
        <v>4.7229219143576824</v>
      </c>
      <c r="K99" s="3">
        <f>6-J99</f>
        <v>1.2770780856423176</v>
      </c>
      <c r="L99" t="s">
        <v>13</v>
      </c>
      <c r="M99">
        <v>40</v>
      </c>
    </row>
    <row r="100" spans="1:13" s="13" customFormat="1" ht="12.95" customHeight="1" x14ac:dyDescent="0.2">
      <c r="A100" s="13">
        <v>108</v>
      </c>
      <c r="B100" s="13" t="s">
        <v>224</v>
      </c>
      <c r="C100" s="13" t="s">
        <v>10</v>
      </c>
      <c r="D100" s="13" t="s">
        <v>225</v>
      </c>
      <c r="E100" s="13">
        <v>99.3</v>
      </c>
      <c r="F100" s="13" t="s">
        <v>12</v>
      </c>
      <c r="G100" s="21">
        <f>750/E100</f>
        <v>7.5528700906344417</v>
      </c>
      <c r="H100" s="13">
        <v>2.09</v>
      </c>
      <c r="I100" s="13">
        <v>1.26</v>
      </c>
      <c r="J100" s="22">
        <f>IF(G100&gt;=6,6, G100)</f>
        <v>6</v>
      </c>
      <c r="K100" s="22">
        <f>6-J100</f>
        <v>0</v>
      </c>
      <c r="L100" s="13" t="s">
        <v>13</v>
      </c>
      <c r="M100" s="13">
        <v>40</v>
      </c>
    </row>
    <row r="101" spans="1:13" ht="12.95" customHeight="1" x14ac:dyDescent="0.2">
      <c r="A101">
        <v>110</v>
      </c>
      <c r="B101" t="s">
        <v>228</v>
      </c>
      <c r="C101" t="s">
        <v>10</v>
      </c>
      <c r="D101" t="s">
        <v>229</v>
      </c>
      <c r="E101">
        <v>76.5</v>
      </c>
      <c r="F101" t="s">
        <v>12</v>
      </c>
      <c r="G101" s="2">
        <f>750/E101</f>
        <v>9.8039215686274517</v>
      </c>
      <c r="H101">
        <v>2.04</v>
      </c>
      <c r="I101">
        <v>0.42</v>
      </c>
      <c r="J101" s="3">
        <f>IF(G101&gt;=6,6, G101)</f>
        <v>6</v>
      </c>
      <c r="K101" s="3">
        <f>6-J101</f>
        <v>0</v>
      </c>
      <c r="L101" t="s">
        <v>13</v>
      </c>
      <c r="M101">
        <v>40</v>
      </c>
    </row>
    <row r="102" spans="1:13" ht="12.95" customHeight="1" x14ac:dyDescent="0.2">
      <c r="A102">
        <v>111</v>
      </c>
      <c r="B102" t="s">
        <v>230</v>
      </c>
      <c r="C102" t="s">
        <v>10</v>
      </c>
      <c r="D102" t="s">
        <v>231</v>
      </c>
      <c r="E102">
        <v>179.7</v>
      </c>
      <c r="F102" t="s">
        <v>12</v>
      </c>
      <c r="G102" s="2">
        <f>750/E102</f>
        <v>4.1736227045075127</v>
      </c>
      <c r="H102">
        <v>2.1</v>
      </c>
      <c r="I102">
        <v>1.61</v>
      </c>
      <c r="J102" s="3">
        <f>IF(G102&gt;=6,6, G102)</f>
        <v>4.1736227045075127</v>
      </c>
      <c r="K102" s="3">
        <f>6-J102</f>
        <v>1.8263772954924873</v>
      </c>
      <c r="L102" t="s">
        <v>13</v>
      </c>
      <c r="M102">
        <v>40</v>
      </c>
    </row>
    <row r="103" spans="1:13" ht="12.95" customHeight="1" x14ac:dyDescent="0.2">
      <c r="A103">
        <v>113</v>
      </c>
      <c r="B103" t="s">
        <v>234</v>
      </c>
      <c r="C103" t="s">
        <v>10</v>
      </c>
      <c r="D103" t="s">
        <v>235</v>
      </c>
      <c r="E103">
        <v>109.7</v>
      </c>
      <c r="F103" t="s">
        <v>12</v>
      </c>
      <c r="G103" s="2">
        <f>750/E103</f>
        <v>6.8368277119416589</v>
      </c>
      <c r="H103">
        <v>2.12</v>
      </c>
      <c r="I103">
        <v>0.57999999999999996</v>
      </c>
      <c r="J103" s="3">
        <f>IF(G103&gt;=6,6, G103)</f>
        <v>6</v>
      </c>
      <c r="K103" s="3">
        <f>6-J103</f>
        <v>0</v>
      </c>
      <c r="L103" t="s">
        <v>13</v>
      </c>
      <c r="M103">
        <v>40</v>
      </c>
    </row>
    <row r="104" spans="1:13" ht="12.95" customHeight="1" x14ac:dyDescent="0.2">
      <c r="A104">
        <v>114</v>
      </c>
      <c r="B104" t="s">
        <v>236</v>
      </c>
      <c r="C104" t="s">
        <v>10</v>
      </c>
      <c r="D104" t="s">
        <v>237</v>
      </c>
      <c r="E104">
        <v>155.6</v>
      </c>
      <c r="F104" t="s">
        <v>12</v>
      </c>
      <c r="G104" s="2">
        <f>750/E104</f>
        <v>4.8200514138817478</v>
      </c>
      <c r="H104">
        <v>2.08</v>
      </c>
      <c r="I104">
        <v>1.24</v>
      </c>
      <c r="J104" s="3">
        <f>IF(G104&gt;=6,6, G104)</f>
        <v>4.8200514138817478</v>
      </c>
      <c r="K104" s="3">
        <f>6-J104</f>
        <v>1.1799485861182522</v>
      </c>
      <c r="L104" t="s">
        <v>13</v>
      </c>
      <c r="M104">
        <v>40</v>
      </c>
    </row>
    <row r="105" spans="1:13" x14ac:dyDescent="0.2">
      <c r="E105" s="13" t="s">
        <v>245</v>
      </c>
      <c r="H105" s="13" t="s">
        <v>245</v>
      </c>
      <c r="I105" s="13" t="s">
        <v>245</v>
      </c>
    </row>
    <row r="106" spans="1:13" x14ac:dyDescent="0.2">
      <c r="E106" s="13">
        <f>AVERAGE(E3:E104)</f>
        <v>246.89607843137256</v>
      </c>
      <c r="H106">
        <f>AVERAGE(H2:H104)</f>
        <v>2.110679611650486</v>
      </c>
      <c r="I106">
        <f>AVERAGE(I2:I104)</f>
        <v>1.6072815533980589</v>
      </c>
    </row>
    <row r="107" spans="1:13" x14ac:dyDescent="0.2">
      <c r="E107" s="13">
        <f>STDEV(E3:E104)</f>
        <v>98.364292524650324</v>
      </c>
      <c r="H107">
        <f>STDEV(H2:H104)</f>
        <v>0.11899301459084188</v>
      </c>
      <c r="I107">
        <f>STDEV(I2:I104)</f>
        <v>0.52923028490469648</v>
      </c>
    </row>
    <row r="110" spans="1:13" x14ac:dyDescent="0.2">
      <c r="A110" t="s">
        <v>243</v>
      </c>
    </row>
    <row r="111" spans="1:13" s="13" customFormat="1" ht="12.95" customHeight="1" x14ac:dyDescent="0.2">
      <c r="A111" s="6">
        <v>12</v>
      </c>
      <c r="B111" s="6" t="s">
        <v>32</v>
      </c>
      <c r="C111" s="6" t="s">
        <v>10</v>
      </c>
      <c r="D111" s="6" t="s">
        <v>33</v>
      </c>
      <c r="E111" s="6">
        <v>11.2</v>
      </c>
      <c r="F111" s="6" t="s">
        <v>12</v>
      </c>
      <c r="G111" s="7">
        <f>750/E111</f>
        <v>66.964285714285722</v>
      </c>
      <c r="H111" s="6">
        <v>1.21</v>
      </c>
      <c r="I111" s="6">
        <v>0.25</v>
      </c>
      <c r="J111" s="8">
        <f>IF(G111&gt;=6,6, G111)</f>
        <v>6</v>
      </c>
      <c r="K111" s="8">
        <f>6-J111</f>
        <v>0</v>
      </c>
      <c r="L111" s="6" t="s">
        <v>13</v>
      </c>
      <c r="M111" s="6">
        <v>40</v>
      </c>
    </row>
    <row r="112" spans="1:13" x14ac:dyDescent="0.2">
      <c r="G112" s="14"/>
    </row>
    <row r="113" spans="1:13" x14ac:dyDescent="0.2">
      <c r="D113" s="14"/>
      <c r="G113" s="13"/>
      <c r="H113" s="13"/>
    </row>
    <row r="114" spans="1:13" x14ac:dyDescent="0.2">
      <c r="A114" t="s">
        <v>244</v>
      </c>
      <c r="D114" s="13"/>
      <c r="E114"/>
      <c r="G114" s="17"/>
      <c r="H114" s="13"/>
    </row>
    <row r="115" spans="1:13" s="18" customFormat="1" ht="12.95" customHeight="1" x14ac:dyDescent="0.2">
      <c r="A115" s="18">
        <v>2</v>
      </c>
      <c r="B115" s="18" t="s">
        <v>14</v>
      </c>
      <c r="C115" s="18" t="s">
        <v>10</v>
      </c>
      <c r="D115" s="18" t="s">
        <v>15</v>
      </c>
      <c r="E115" s="18">
        <v>74.8</v>
      </c>
      <c r="F115" s="18" t="s">
        <v>12</v>
      </c>
      <c r="G115" s="19">
        <f>750/E115</f>
        <v>10.026737967914439</v>
      </c>
      <c r="H115" s="18">
        <v>2.2999999999999998</v>
      </c>
      <c r="I115" s="18">
        <v>1.44</v>
      </c>
      <c r="J115" s="20">
        <f>IF(G115&gt;=6,6, G115)</f>
        <v>6</v>
      </c>
      <c r="K115" s="20">
        <f>6-J115</f>
        <v>0</v>
      </c>
      <c r="L115" s="18" t="s">
        <v>13</v>
      </c>
      <c r="M115" s="18">
        <v>40</v>
      </c>
    </row>
    <row r="116" spans="1:13" s="18" customFormat="1" ht="12.95" customHeight="1" x14ac:dyDescent="0.2">
      <c r="A116" s="18">
        <v>5</v>
      </c>
      <c r="B116" s="18" t="s">
        <v>20</v>
      </c>
      <c r="C116" s="18" t="s">
        <v>10</v>
      </c>
      <c r="D116" s="18" t="s">
        <v>21</v>
      </c>
      <c r="E116" s="18">
        <v>214.9</v>
      </c>
      <c r="F116" s="18" t="s">
        <v>12</v>
      </c>
      <c r="G116" s="19">
        <f>750/E116</f>
        <v>3.4899953466728708</v>
      </c>
      <c r="H116" s="18">
        <v>2.0499999999999998</v>
      </c>
      <c r="I116" s="18">
        <v>1.72</v>
      </c>
      <c r="J116" s="20">
        <f>IF(G116&gt;=6,6, G116)</f>
        <v>3.4899953466728708</v>
      </c>
      <c r="K116" s="20">
        <f>6-J116</f>
        <v>2.5100046533271292</v>
      </c>
      <c r="L116" s="18" t="s">
        <v>13</v>
      </c>
      <c r="M116" s="18">
        <v>40</v>
      </c>
    </row>
    <row r="117" spans="1:13" s="18" customFormat="1" ht="12.95" customHeight="1" x14ac:dyDescent="0.2">
      <c r="A117" s="18">
        <v>42</v>
      </c>
      <c r="B117" s="18" t="s">
        <v>92</v>
      </c>
      <c r="C117" s="18" t="s">
        <v>10</v>
      </c>
      <c r="D117" s="18" t="s">
        <v>93</v>
      </c>
      <c r="E117" s="18">
        <v>357</v>
      </c>
      <c r="F117" s="18" t="s">
        <v>12</v>
      </c>
      <c r="G117" s="19">
        <f>750/E117</f>
        <v>2.1008403361344539</v>
      </c>
      <c r="H117" s="18">
        <v>2.16</v>
      </c>
      <c r="I117" s="18">
        <v>1.65</v>
      </c>
      <c r="J117" s="20">
        <f>IF(G117&gt;=6,6, G117)</f>
        <v>2.1008403361344539</v>
      </c>
      <c r="K117" s="20">
        <f>6-J117</f>
        <v>3.8991596638655461</v>
      </c>
      <c r="L117" s="18" t="s">
        <v>13</v>
      </c>
      <c r="M117" s="18">
        <v>40</v>
      </c>
    </row>
    <row r="118" spans="1:13" s="18" customFormat="1" ht="12.95" customHeight="1" x14ac:dyDescent="0.2">
      <c r="A118" s="18">
        <v>44</v>
      </c>
      <c r="B118" s="18" t="s">
        <v>96</v>
      </c>
      <c r="C118" s="18" t="s">
        <v>10</v>
      </c>
      <c r="D118" s="18" t="s">
        <v>97</v>
      </c>
      <c r="E118" s="18">
        <v>282</v>
      </c>
      <c r="F118" s="18" t="s">
        <v>12</v>
      </c>
      <c r="G118" s="19">
        <f>750/E118</f>
        <v>2.6595744680851063</v>
      </c>
      <c r="H118" s="18">
        <v>2.15</v>
      </c>
      <c r="I118" s="18">
        <v>1.84</v>
      </c>
      <c r="J118" s="20">
        <f>IF(G118&gt;=6,6, G118)</f>
        <v>2.6595744680851063</v>
      </c>
      <c r="K118" s="20">
        <f>6-J118</f>
        <v>3.3404255319148937</v>
      </c>
      <c r="L118" s="18" t="s">
        <v>13</v>
      </c>
      <c r="M118" s="18">
        <v>40</v>
      </c>
    </row>
    <row r="119" spans="1:13" s="18" customFormat="1" ht="12.95" customHeight="1" x14ac:dyDescent="0.2">
      <c r="A119" s="18">
        <v>93</v>
      </c>
      <c r="B119" s="18" t="s">
        <v>194</v>
      </c>
      <c r="C119" s="18" t="s">
        <v>10</v>
      </c>
      <c r="D119" s="18" t="s">
        <v>195</v>
      </c>
      <c r="E119" s="18">
        <v>317.89999999999998</v>
      </c>
      <c r="F119" s="18" t="s">
        <v>12</v>
      </c>
      <c r="G119" s="19">
        <f>750/E119</f>
        <v>2.3592324630386914</v>
      </c>
      <c r="H119" s="18">
        <v>2.15</v>
      </c>
      <c r="I119" s="18">
        <v>1.55</v>
      </c>
      <c r="J119" s="20">
        <f>IF(G119&gt;=6,6, G119)</f>
        <v>2.3592324630386914</v>
      </c>
      <c r="K119" s="20">
        <f>6-J119</f>
        <v>3.6407675369613086</v>
      </c>
      <c r="L119" s="18" t="s">
        <v>13</v>
      </c>
      <c r="M119" s="18">
        <v>40</v>
      </c>
    </row>
    <row r="120" spans="1:13" s="18" customFormat="1" ht="12.95" customHeight="1" x14ac:dyDescent="0.2">
      <c r="A120" s="18">
        <v>95</v>
      </c>
      <c r="B120" s="18" t="s">
        <v>198</v>
      </c>
      <c r="C120" s="18" t="s">
        <v>10</v>
      </c>
      <c r="D120" s="18" t="s">
        <v>199</v>
      </c>
      <c r="E120" s="18">
        <v>233.6</v>
      </c>
      <c r="F120" s="18" t="s">
        <v>12</v>
      </c>
      <c r="G120" s="19">
        <f>750/E120</f>
        <v>3.2106164383561646</v>
      </c>
      <c r="H120" s="18">
        <v>2.0699999999999998</v>
      </c>
      <c r="I120" s="18">
        <v>1.1599999999999999</v>
      </c>
      <c r="J120" s="20">
        <f>IF(G120&gt;=6,6, G120)</f>
        <v>3.2106164383561646</v>
      </c>
      <c r="K120" s="20">
        <f>6-J120</f>
        <v>2.7893835616438354</v>
      </c>
      <c r="L120" s="18" t="s">
        <v>13</v>
      </c>
      <c r="M120" s="18">
        <v>40</v>
      </c>
    </row>
    <row r="121" spans="1:13" s="18" customFormat="1" ht="12.95" customHeight="1" x14ac:dyDescent="0.2">
      <c r="A121" s="18">
        <v>102</v>
      </c>
      <c r="B121" s="18" t="s">
        <v>212</v>
      </c>
      <c r="C121" s="18" t="s">
        <v>10</v>
      </c>
      <c r="D121" s="18" t="s">
        <v>213</v>
      </c>
      <c r="E121" s="18">
        <v>158.69999999999999</v>
      </c>
      <c r="F121" s="18" t="s">
        <v>12</v>
      </c>
      <c r="G121" s="19">
        <f>750/E121</f>
        <v>4.7258979206049156</v>
      </c>
      <c r="H121" s="18">
        <v>2.11</v>
      </c>
      <c r="I121" s="18">
        <v>0.53</v>
      </c>
      <c r="J121" s="20">
        <f>IF(G121&gt;=6,6, G121)</f>
        <v>4.7258979206049156</v>
      </c>
      <c r="K121" s="20">
        <f>6-J121</f>
        <v>1.2741020793950844</v>
      </c>
      <c r="L121" s="18" t="s">
        <v>13</v>
      </c>
      <c r="M121" s="18">
        <v>40</v>
      </c>
    </row>
    <row r="122" spans="1:13" s="18" customFormat="1" ht="12.95" customHeight="1" x14ac:dyDescent="0.2">
      <c r="A122" s="18">
        <v>109</v>
      </c>
      <c r="B122" s="18" t="s">
        <v>226</v>
      </c>
      <c r="C122" s="18" t="s">
        <v>10</v>
      </c>
      <c r="D122" s="18" t="s">
        <v>227</v>
      </c>
      <c r="E122" s="18">
        <v>228.6</v>
      </c>
      <c r="F122" s="18" t="s">
        <v>12</v>
      </c>
      <c r="G122" s="19">
        <f>750/E122</f>
        <v>3.2808398950131235</v>
      </c>
      <c r="H122" s="18">
        <v>2.12</v>
      </c>
      <c r="I122" s="18">
        <v>1.98</v>
      </c>
      <c r="J122" s="20">
        <f>IF(G122&gt;=6,6, G122)</f>
        <v>3.2808398950131235</v>
      </c>
      <c r="K122" s="20">
        <f>6-J122</f>
        <v>2.7191601049868765</v>
      </c>
      <c r="L122" s="18" t="s">
        <v>13</v>
      </c>
      <c r="M122" s="18">
        <v>40</v>
      </c>
    </row>
    <row r="123" spans="1:13" s="18" customFormat="1" ht="12.95" customHeight="1" x14ac:dyDescent="0.2">
      <c r="A123" s="18">
        <v>112</v>
      </c>
      <c r="B123" s="18" t="s">
        <v>232</v>
      </c>
      <c r="C123" s="18" t="s">
        <v>10</v>
      </c>
      <c r="D123" s="18" t="s">
        <v>233</v>
      </c>
      <c r="E123" s="18">
        <v>131.4</v>
      </c>
      <c r="F123" s="18" t="s">
        <v>12</v>
      </c>
      <c r="G123" s="19">
        <f>750/E123</f>
        <v>5.7077625570776256</v>
      </c>
      <c r="H123" s="18">
        <v>2</v>
      </c>
      <c r="I123" s="18">
        <v>0.57999999999999996</v>
      </c>
      <c r="J123" s="20">
        <f>IF(G123&gt;=6,6, G123)</f>
        <v>5.7077625570776256</v>
      </c>
      <c r="K123" s="20">
        <f>6-J123</f>
        <v>0.29223744292237441</v>
      </c>
      <c r="L123" s="18" t="s">
        <v>13</v>
      </c>
      <c r="M123" s="18">
        <v>40</v>
      </c>
    </row>
    <row r="124" spans="1:13" x14ac:dyDescent="0.2">
      <c r="C124" s="15"/>
      <c r="D124" s="16"/>
    </row>
  </sheetData>
  <sortState ref="A2:M136">
    <sortCondition ref="A1"/>
  </sortState>
  <phoneticPr fontId="21" type="noConversion"/>
  <conditionalFormatting sqref="E111 E1:E104 E115:E123">
    <cfRule type="cellIs" dxfId="10" priority="4" operator="between">
      <formula>26.1</formula>
      <formula>110</formula>
    </cfRule>
    <cfRule type="cellIs" dxfId="9" priority="5" operator="lessThan">
      <formula>26</formula>
    </cfRule>
    <cfRule type="cellIs" dxfId="8" priority="12" operator="lessThan">
      <formula>30</formula>
    </cfRule>
  </conditionalFormatting>
  <conditionalFormatting sqref="H111 H1:H104 H115:H123">
    <cfRule type="cellIs" dxfId="7" priority="10" operator="lessThan">
      <formula>1.6</formula>
    </cfRule>
    <cfRule type="cellIs" dxfId="6" priority="11" operator="between">
      <formula>0.01</formula>
      <formula>1.5</formula>
    </cfRule>
  </conditionalFormatting>
  <conditionalFormatting sqref="I111 I1:I104 I115:I123">
    <cfRule type="cellIs" dxfId="5" priority="8" operator="between">
      <formula>1</formula>
      <formula>1.6</formula>
    </cfRule>
    <cfRule type="cellIs" dxfId="4" priority="9" operator="lessThan">
      <formula>1.5</formula>
    </cfRule>
  </conditionalFormatting>
  <conditionalFormatting sqref="J111 J1:J104 J115:J123">
    <cfRule type="cellIs" dxfId="3" priority="7" operator="lessThan">
      <formula>6</formula>
    </cfRule>
  </conditionalFormatting>
  <conditionalFormatting sqref="K1:K1048576">
    <cfRule type="cellIs" dxfId="2" priority="6" operator="greaterThan">
      <formula>0</formula>
    </cfRule>
  </conditionalFormatting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4"/>
  <sheetViews>
    <sheetView workbookViewId="0">
      <selection activeCell="K22" sqref="K22"/>
    </sheetView>
  </sheetViews>
  <sheetFormatPr defaultColWidth="11.42578125" defaultRowHeight="12.75" x14ac:dyDescent="0.2"/>
  <cols>
    <col min="1" max="1" width="8.85546875" customWidth="1"/>
    <col min="2" max="2" width="7.7109375" customWidth="1"/>
    <col min="3" max="3" width="5.85546875" customWidth="1"/>
    <col min="4" max="4" width="6.140625" customWidth="1"/>
    <col min="5" max="5" width="6.42578125" customWidth="1"/>
    <col min="6" max="7" width="5.85546875" customWidth="1"/>
  </cols>
  <sheetData>
    <row r="1" spans="1:7" x14ac:dyDescent="0.2">
      <c r="A1" s="1" t="s">
        <v>0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240</v>
      </c>
      <c r="G1" s="1" t="s">
        <v>241</v>
      </c>
    </row>
    <row r="2" spans="1:7" x14ac:dyDescent="0.2">
      <c r="A2" t="s">
        <v>9</v>
      </c>
      <c r="B2">
        <v>392.9</v>
      </c>
      <c r="C2" t="s">
        <v>12</v>
      </c>
      <c r="D2">
        <v>2.04</v>
      </c>
      <c r="E2">
        <v>1.72</v>
      </c>
      <c r="F2" s="2">
        <v>1.9088826673453807</v>
      </c>
      <c r="G2" s="2">
        <v>4.0911173326546191</v>
      </c>
    </row>
    <row r="3" spans="1:7" x14ac:dyDescent="0.2">
      <c r="A3" t="s">
        <v>14</v>
      </c>
      <c r="B3">
        <v>74.8</v>
      </c>
      <c r="C3" t="s">
        <v>12</v>
      </c>
      <c r="D3">
        <v>2.2999999999999998</v>
      </c>
      <c r="E3">
        <v>1.44</v>
      </c>
      <c r="F3" s="2">
        <v>6</v>
      </c>
      <c r="G3" s="2">
        <v>0</v>
      </c>
    </row>
    <row r="4" spans="1:7" x14ac:dyDescent="0.2">
      <c r="A4" t="s">
        <v>16</v>
      </c>
      <c r="B4">
        <v>90.7</v>
      </c>
      <c r="C4" t="s">
        <v>12</v>
      </c>
      <c r="D4">
        <v>1.35</v>
      </c>
      <c r="E4">
        <v>0.8</v>
      </c>
      <c r="F4" s="2">
        <v>6</v>
      </c>
      <c r="G4" s="2">
        <v>0</v>
      </c>
    </row>
    <row r="5" spans="1:7" x14ac:dyDescent="0.2">
      <c r="A5" t="s">
        <v>18</v>
      </c>
      <c r="B5">
        <v>156</v>
      </c>
      <c r="C5" t="s">
        <v>12</v>
      </c>
      <c r="D5">
        <v>1.6</v>
      </c>
      <c r="E5">
        <v>0.87</v>
      </c>
      <c r="F5" s="2">
        <v>4.8076923076923075</v>
      </c>
      <c r="G5" s="2">
        <v>1.1923076923076925</v>
      </c>
    </row>
    <row r="6" spans="1:7" x14ac:dyDescent="0.2">
      <c r="A6" t="s">
        <v>20</v>
      </c>
      <c r="B6">
        <v>214.9</v>
      </c>
      <c r="C6" t="s">
        <v>12</v>
      </c>
      <c r="D6">
        <v>2.0499999999999998</v>
      </c>
      <c r="E6">
        <v>1.72</v>
      </c>
      <c r="F6" s="2">
        <v>3.4899953466728708</v>
      </c>
      <c r="G6" s="2">
        <v>2.5100046533271292</v>
      </c>
    </row>
    <row r="7" spans="1:7" x14ac:dyDescent="0.2">
      <c r="A7" t="s">
        <v>22</v>
      </c>
      <c r="B7">
        <v>262.7</v>
      </c>
      <c r="C7" t="s">
        <v>12</v>
      </c>
      <c r="D7">
        <v>2.21</v>
      </c>
      <c r="E7">
        <v>2.31</v>
      </c>
      <c r="F7" s="2">
        <v>2.854967643700038</v>
      </c>
      <c r="G7" s="2">
        <v>3.145032356299962</v>
      </c>
    </row>
    <row r="8" spans="1:7" x14ac:dyDescent="0.2">
      <c r="A8" t="s">
        <v>24</v>
      </c>
      <c r="B8">
        <v>82.4</v>
      </c>
      <c r="C8" t="s">
        <v>12</v>
      </c>
      <c r="D8">
        <v>2.36</v>
      </c>
      <c r="E8">
        <v>1.22</v>
      </c>
      <c r="F8" s="2">
        <v>6</v>
      </c>
      <c r="G8" s="2">
        <v>0</v>
      </c>
    </row>
    <row r="9" spans="1:7" x14ac:dyDescent="0.2">
      <c r="A9" t="s">
        <v>26</v>
      </c>
      <c r="B9">
        <v>183.1</v>
      </c>
      <c r="C9" t="s">
        <v>12</v>
      </c>
      <c r="D9">
        <v>2.2200000000000002</v>
      </c>
      <c r="E9">
        <v>2.13</v>
      </c>
      <c r="F9" s="2">
        <v>4.0961223375204812</v>
      </c>
      <c r="G9" s="2">
        <v>1.9038776624795188</v>
      </c>
    </row>
    <row r="10" spans="1:7" x14ac:dyDescent="0.2">
      <c r="A10" t="s">
        <v>28</v>
      </c>
      <c r="B10">
        <v>177.8</v>
      </c>
      <c r="C10" t="s">
        <v>12</v>
      </c>
      <c r="D10">
        <v>2.2799999999999998</v>
      </c>
      <c r="E10">
        <v>1.8</v>
      </c>
      <c r="F10" s="2">
        <v>4.2182227221597302</v>
      </c>
      <c r="G10" s="2">
        <v>1.7817772778402698</v>
      </c>
    </row>
    <row r="11" spans="1:7" x14ac:dyDescent="0.2">
      <c r="A11" t="s">
        <v>30</v>
      </c>
      <c r="B11">
        <v>306.10000000000002</v>
      </c>
      <c r="C11" t="s">
        <v>12</v>
      </c>
      <c r="D11">
        <v>1.85</v>
      </c>
      <c r="E11">
        <v>1.72</v>
      </c>
      <c r="F11" s="2">
        <v>2.4501796798431883</v>
      </c>
      <c r="G11" s="2">
        <v>3.5498203201568117</v>
      </c>
    </row>
    <row r="12" spans="1:7" x14ac:dyDescent="0.2">
      <c r="A12" t="s">
        <v>32</v>
      </c>
      <c r="B12">
        <v>11.2</v>
      </c>
      <c r="C12" t="s">
        <v>12</v>
      </c>
      <c r="D12">
        <v>1.21</v>
      </c>
      <c r="E12">
        <v>0.25</v>
      </c>
      <c r="F12" s="2">
        <v>1.21</v>
      </c>
      <c r="G12" s="2">
        <v>0.25</v>
      </c>
    </row>
    <row r="13" spans="1:7" x14ac:dyDescent="0.2">
      <c r="A13" t="s">
        <v>34</v>
      </c>
      <c r="B13">
        <v>66.5</v>
      </c>
      <c r="C13" t="s">
        <v>12</v>
      </c>
      <c r="D13">
        <v>2.17</v>
      </c>
      <c r="E13">
        <v>2.86</v>
      </c>
      <c r="F13" s="2">
        <v>6</v>
      </c>
      <c r="G13" s="2">
        <v>0</v>
      </c>
    </row>
    <row r="14" spans="1:7" x14ac:dyDescent="0.2">
      <c r="A14" t="s">
        <v>36</v>
      </c>
      <c r="B14">
        <v>164.5</v>
      </c>
      <c r="C14" t="s">
        <v>12</v>
      </c>
      <c r="D14">
        <v>2.27</v>
      </c>
      <c r="E14">
        <v>2.16</v>
      </c>
      <c r="F14" s="2">
        <v>4.5592705167173255</v>
      </c>
      <c r="G14" s="2">
        <v>1.4407294832826745</v>
      </c>
    </row>
    <row r="15" spans="1:7" x14ac:dyDescent="0.2">
      <c r="A15" t="s">
        <v>38</v>
      </c>
      <c r="B15">
        <v>133.4</v>
      </c>
      <c r="C15" t="s">
        <v>12</v>
      </c>
      <c r="D15">
        <v>2.1</v>
      </c>
      <c r="E15">
        <v>1.66</v>
      </c>
      <c r="F15" s="2">
        <v>5.6221889055472261</v>
      </c>
      <c r="G15" s="2">
        <v>0.37781109445277394</v>
      </c>
    </row>
    <row r="16" spans="1:7" x14ac:dyDescent="0.2">
      <c r="A16" t="s">
        <v>40</v>
      </c>
      <c r="B16">
        <v>94.2</v>
      </c>
      <c r="C16" t="s">
        <v>12</v>
      </c>
      <c r="D16">
        <v>2.34</v>
      </c>
      <c r="E16">
        <v>1.41</v>
      </c>
      <c r="F16" s="2">
        <v>6</v>
      </c>
      <c r="G16" s="2">
        <v>0</v>
      </c>
    </row>
    <row r="17" spans="1:7" x14ac:dyDescent="0.2">
      <c r="A17" t="s">
        <v>42</v>
      </c>
      <c r="B17">
        <v>308.7</v>
      </c>
      <c r="C17" t="s">
        <v>12</v>
      </c>
      <c r="D17">
        <v>1.8</v>
      </c>
      <c r="E17">
        <v>1.59</v>
      </c>
      <c r="F17" s="2">
        <v>2.4295432458697768</v>
      </c>
      <c r="G17" s="2">
        <v>3.5704567541302232</v>
      </c>
    </row>
    <row r="18" spans="1:7" x14ac:dyDescent="0.2">
      <c r="A18" t="s">
        <v>44</v>
      </c>
      <c r="B18">
        <v>385.4</v>
      </c>
      <c r="C18" t="s">
        <v>12</v>
      </c>
      <c r="D18">
        <v>2</v>
      </c>
      <c r="E18">
        <v>1.39</v>
      </c>
      <c r="F18" s="2">
        <v>1.9460300985988583</v>
      </c>
      <c r="G18" s="2">
        <v>4.0539699014011417</v>
      </c>
    </row>
    <row r="19" spans="1:7" x14ac:dyDescent="0.2">
      <c r="A19" t="s">
        <v>46</v>
      </c>
      <c r="B19">
        <v>185.9</v>
      </c>
      <c r="C19" t="s">
        <v>12</v>
      </c>
      <c r="D19">
        <v>1.97</v>
      </c>
      <c r="E19">
        <v>1.32</v>
      </c>
      <c r="F19" s="2">
        <v>4.0344271113501877</v>
      </c>
      <c r="G19" s="2">
        <v>1.9655728886498123</v>
      </c>
    </row>
    <row r="20" spans="1:7" x14ac:dyDescent="0.2">
      <c r="A20" t="s">
        <v>48</v>
      </c>
      <c r="B20">
        <v>263.8</v>
      </c>
      <c r="C20" t="s">
        <v>12</v>
      </c>
      <c r="D20">
        <v>2.13</v>
      </c>
      <c r="E20">
        <v>1.84</v>
      </c>
      <c r="F20" s="2">
        <v>2.8430629264594387</v>
      </c>
      <c r="G20" s="2">
        <v>3.1569370735405613</v>
      </c>
    </row>
    <row r="21" spans="1:7" x14ac:dyDescent="0.2">
      <c r="A21" t="s">
        <v>50</v>
      </c>
      <c r="B21">
        <v>122.5</v>
      </c>
      <c r="C21" t="s">
        <v>12</v>
      </c>
      <c r="D21">
        <v>2.1800000000000002</v>
      </c>
      <c r="E21">
        <v>0.98</v>
      </c>
      <c r="F21" s="2">
        <v>6</v>
      </c>
      <c r="G21" s="2">
        <v>0</v>
      </c>
    </row>
    <row r="22" spans="1:7" x14ac:dyDescent="0.2">
      <c r="A22" t="s">
        <v>52</v>
      </c>
      <c r="B22">
        <v>251.5</v>
      </c>
      <c r="C22" t="s">
        <v>12</v>
      </c>
      <c r="D22">
        <v>2.16</v>
      </c>
      <c r="E22">
        <v>1.58</v>
      </c>
      <c r="F22" s="2">
        <v>2.982107355864811</v>
      </c>
      <c r="G22" s="2">
        <v>3.017892644135189</v>
      </c>
    </row>
    <row r="23" spans="1:7" x14ac:dyDescent="0.2">
      <c r="A23" t="s">
        <v>54</v>
      </c>
      <c r="B23">
        <v>377.3</v>
      </c>
      <c r="C23" t="s">
        <v>12</v>
      </c>
      <c r="D23">
        <v>2.15</v>
      </c>
      <c r="E23">
        <v>1.47</v>
      </c>
      <c r="F23" s="2">
        <v>1.9878081102570897</v>
      </c>
      <c r="G23" s="2">
        <v>4.0121918897429101</v>
      </c>
    </row>
    <row r="24" spans="1:7" x14ac:dyDescent="0.2">
      <c r="A24" t="s">
        <v>56</v>
      </c>
      <c r="B24">
        <v>391.8</v>
      </c>
      <c r="C24" t="s">
        <v>12</v>
      </c>
      <c r="D24">
        <v>2.14</v>
      </c>
      <c r="E24">
        <v>2.15</v>
      </c>
      <c r="F24" s="2">
        <v>1.9142419601837672</v>
      </c>
      <c r="G24" s="2">
        <v>4.0857580398162323</v>
      </c>
    </row>
    <row r="25" spans="1:7" x14ac:dyDescent="0.2">
      <c r="A25" t="s">
        <v>58</v>
      </c>
      <c r="B25">
        <v>221.5</v>
      </c>
      <c r="C25" t="s">
        <v>12</v>
      </c>
      <c r="D25">
        <v>2.14</v>
      </c>
      <c r="E25">
        <v>0.79</v>
      </c>
      <c r="F25" s="2">
        <v>3.386004514672686</v>
      </c>
      <c r="G25" s="2">
        <v>2.613995485327314</v>
      </c>
    </row>
    <row r="26" spans="1:7" x14ac:dyDescent="0.2">
      <c r="A26" t="s">
        <v>60</v>
      </c>
      <c r="B26">
        <v>221.2</v>
      </c>
      <c r="C26" t="s">
        <v>12</v>
      </c>
      <c r="D26">
        <v>2.12</v>
      </c>
      <c r="E26">
        <v>1.91</v>
      </c>
      <c r="F26" s="2">
        <v>3.3905967450271248</v>
      </c>
      <c r="G26" s="2">
        <v>2.6094032549728752</v>
      </c>
    </row>
    <row r="27" spans="1:7" x14ac:dyDescent="0.2">
      <c r="A27" t="s">
        <v>62</v>
      </c>
      <c r="B27">
        <v>355.9</v>
      </c>
      <c r="C27" t="s">
        <v>12</v>
      </c>
      <c r="D27">
        <v>2.15</v>
      </c>
      <c r="E27">
        <v>2.0699999999999998</v>
      </c>
      <c r="F27" s="2">
        <v>2.1073335206518689</v>
      </c>
      <c r="G27" s="2">
        <v>3.8926664793481311</v>
      </c>
    </row>
    <row r="28" spans="1:7" x14ac:dyDescent="0.2">
      <c r="A28" t="s">
        <v>64</v>
      </c>
      <c r="B28">
        <v>242.3</v>
      </c>
      <c r="C28" t="s">
        <v>12</v>
      </c>
      <c r="D28">
        <v>2.15</v>
      </c>
      <c r="E28">
        <v>2.27</v>
      </c>
      <c r="F28" s="2">
        <v>3.0953363598844406</v>
      </c>
      <c r="G28" s="2">
        <v>2.9046636401155594</v>
      </c>
    </row>
    <row r="29" spans="1:7" x14ac:dyDescent="0.2">
      <c r="A29" t="s">
        <v>66</v>
      </c>
      <c r="B29">
        <v>261.10000000000002</v>
      </c>
      <c r="C29" t="s">
        <v>12</v>
      </c>
      <c r="D29">
        <v>2.02</v>
      </c>
      <c r="E29">
        <v>1.52</v>
      </c>
      <c r="F29" s="2">
        <v>2.8724626579854458</v>
      </c>
      <c r="G29" s="2">
        <v>3.1275373420145542</v>
      </c>
    </row>
    <row r="30" spans="1:7" x14ac:dyDescent="0.2">
      <c r="A30" t="s">
        <v>68</v>
      </c>
      <c r="B30">
        <v>422.7</v>
      </c>
      <c r="C30" t="s">
        <v>12</v>
      </c>
      <c r="D30">
        <v>2.15</v>
      </c>
      <c r="E30">
        <v>2.0099999999999998</v>
      </c>
      <c r="F30" s="2">
        <v>1.7743080198722498</v>
      </c>
      <c r="G30" s="2">
        <v>4.2256919801277499</v>
      </c>
    </row>
    <row r="31" spans="1:7" x14ac:dyDescent="0.2">
      <c r="A31" t="s">
        <v>70</v>
      </c>
      <c r="B31">
        <v>222.3</v>
      </c>
      <c r="C31" t="s">
        <v>12</v>
      </c>
      <c r="D31">
        <v>1.86</v>
      </c>
      <c r="E31">
        <v>1.42</v>
      </c>
      <c r="F31" s="2">
        <v>3.3738191632928474</v>
      </c>
      <c r="G31" s="2">
        <v>2.6261808367071526</v>
      </c>
    </row>
    <row r="32" spans="1:7" x14ac:dyDescent="0.2">
      <c r="A32" t="s">
        <v>72</v>
      </c>
      <c r="B32">
        <v>334.4</v>
      </c>
      <c r="C32" t="s">
        <v>12</v>
      </c>
      <c r="D32">
        <v>2.14</v>
      </c>
      <c r="E32">
        <v>1.92</v>
      </c>
      <c r="F32" s="2">
        <v>2.2428229665071773</v>
      </c>
      <c r="G32" s="2">
        <v>3.7571770334928227</v>
      </c>
    </row>
    <row r="33" spans="1:7" x14ac:dyDescent="0.2">
      <c r="A33" t="s">
        <v>74</v>
      </c>
      <c r="B33">
        <v>263</v>
      </c>
      <c r="C33" t="s">
        <v>12</v>
      </c>
      <c r="D33">
        <v>2.14</v>
      </c>
      <c r="E33">
        <v>1.86</v>
      </c>
      <c r="F33" s="2">
        <v>2.8517110266159698</v>
      </c>
      <c r="G33" s="2">
        <v>3.1482889733840302</v>
      </c>
    </row>
    <row r="34" spans="1:7" x14ac:dyDescent="0.2">
      <c r="A34" t="s">
        <v>76</v>
      </c>
      <c r="B34">
        <v>235.8</v>
      </c>
      <c r="C34" t="s">
        <v>12</v>
      </c>
      <c r="D34">
        <v>2.11</v>
      </c>
      <c r="E34">
        <v>2.04</v>
      </c>
      <c r="F34" s="2">
        <v>3.1806615776081424</v>
      </c>
      <c r="G34" s="2">
        <v>2.8193384223918576</v>
      </c>
    </row>
    <row r="35" spans="1:7" x14ac:dyDescent="0.2">
      <c r="A35" t="s">
        <v>78</v>
      </c>
      <c r="B35">
        <v>303.2</v>
      </c>
      <c r="C35" t="s">
        <v>12</v>
      </c>
      <c r="D35">
        <v>2.13</v>
      </c>
      <c r="E35">
        <v>2.23</v>
      </c>
      <c r="F35" s="2">
        <v>2.473614775725594</v>
      </c>
      <c r="G35" s="2">
        <v>3.526385224274406</v>
      </c>
    </row>
    <row r="36" spans="1:7" x14ac:dyDescent="0.2">
      <c r="A36" t="s">
        <v>80</v>
      </c>
      <c r="B36">
        <v>292.2</v>
      </c>
      <c r="C36" t="s">
        <v>12</v>
      </c>
      <c r="D36">
        <v>2.16</v>
      </c>
      <c r="E36">
        <v>2.12</v>
      </c>
      <c r="F36" s="2">
        <v>2.5667351129363452</v>
      </c>
      <c r="G36" s="2">
        <v>3.4332648870636548</v>
      </c>
    </row>
    <row r="37" spans="1:7" x14ac:dyDescent="0.2">
      <c r="A37" t="s">
        <v>82</v>
      </c>
      <c r="B37">
        <v>290.7</v>
      </c>
      <c r="C37" t="s">
        <v>12</v>
      </c>
      <c r="D37">
        <v>2.15</v>
      </c>
      <c r="E37">
        <v>2.02</v>
      </c>
      <c r="F37" s="2">
        <v>2.5799793601651189</v>
      </c>
      <c r="G37" s="2">
        <v>3.4200206398348811</v>
      </c>
    </row>
    <row r="38" spans="1:7" x14ac:dyDescent="0.2">
      <c r="A38" t="s">
        <v>84</v>
      </c>
      <c r="B38">
        <v>213.8</v>
      </c>
      <c r="C38" t="s">
        <v>12</v>
      </c>
      <c r="D38">
        <v>2.16</v>
      </c>
      <c r="E38">
        <v>1.38</v>
      </c>
      <c r="F38" s="2">
        <v>3.5079513564078577</v>
      </c>
      <c r="G38" s="2">
        <v>2.4920486435921423</v>
      </c>
    </row>
    <row r="39" spans="1:7" x14ac:dyDescent="0.2">
      <c r="A39" t="s">
        <v>86</v>
      </c>
      <c r="B39">
        <v>286.39999999999998</v>
      </c>
      <c r="C39" t="s">
        <v>12</v>
      </c>
      <c r="D39">
        <v>2.14</v>
      </c>
      <c r="E39">
        <v>2.17</v>
      </c>
      <c r="F39" s="2">
        <v>2.6187150837988828</v>
      </c>
      <c r="G39" s="2">
        <v>3.3812849162011172</v>
      </c>
    </row>
    <row r="40" spans="1:7" x14ac:dyDescent="0.2">
      <c r="A40" t="s">
        <v>88</v>
      </c>
      <c r="B40">
        <v>230.5</v>
      </c>
      <c r="C40" t="s">
        <v>12</v>
      </c>
      <c r="D40">
        <v>2.06</v>
      </c>
      <c r="E40">
        <v>1.81</v>
      </c>
      <c r="F40" s="2">
        <v>3.2537960954446854</v>
      </c>
      <c r="G40" s="2">
        <v>2.7462039045553146</v>
      </c>
    </row>
    <row r="41" spans="1:7" x14ac:dyDescent="0.2">
      <c r="A41" t="s">
        <v>90</v>
      </c>
      <c r="B41">
        <v>199.7</v>
      </c>
      <c r="C41" t="s">
        <v>12</v>
      </c>
      <c r="D41">
        <v>2.21</v>
      </c>
      <c r="E41">
        <v>1.45</v>
      </c>
      <c r="F41" s="2">
        <v>3.7556334501752633</v>
      </c>
      <c r="G41" s="2">
        <v>2.2443665498247367</v>
      </c>
    </row>
    <row r="42" spans="1:7" x14ac:dyDescent="0.2">
      <c r="A42" t="s">
        <v>92</v>
      </c>
      <c r="B42">
        <v>357</v>
      </c>
      <c r="C42" t="s">
        <v>12</v>
      </c>
      <c r="D42">
        <v>2.16</v>
      </c>
      <c r="E42">
        <v>1.65</v>
      </c>
      <c r="F42" s="2">
        <v>2.1008403361344539</v>
      </c>
      <c r="G42" s="2">
        <v>3.8991596638655461</v>
      </c>
    </row>
    <row r="43" spans="1:7" x14ac:dyDescent="0.2">
      <c r="A43" t="s">
        <v>94</v>
      </c>
      <c r="B43">
        <v>468.9</v>
      </c>
      <c r="C43" t="s">
        <v>12</v>
      </c>
      <c r="D43">
        <v>2.14</v>
      </c>
      <c r="E43">
        <v>1.31</v>
      </c>
      <c r="F43" s="2">
        <v>1.599488163787588</v>
      </c>
      <c r="G43" s="2">
        <v>4.400511836212412</v>
      </c>
    </row>
    <row r="44" spans="1:7" x14ac:dyDescent="0.2">
      <c r="A44" t="s">
        <v>96</v>
      </c>
      <c r="B44">
        <v>282</v>
      </c>
      <c r="C44" t="s">
        <v>12</v>
      </c>
      <c r="D44">
        <v>2.15</v>
      </c>
      <c r="E44">
        <v>1.84</v>
      </c>
      <c r="F44" s="2">
        <v>2.6595744680851063</v>
      </c>
      <c r="G44" s="2">
        <v>3.3404255319148937</v>
      </c>
    </row>
    <row r="45" spans="1:7" x14ac:dyDescent="0.2">
      <c r="A45" t="s">
        <v>98</v>
      </c>
      <c r="B45">
        <v>375.4</v>
      </c>
      <c r="C45" t="s">
        <v>12</v>
      </c>
      <c r="D45">
        <v>2.14</v>
      </c>
      <c r="E45">
        <v>2.11</v>
      </c>
      <c r="F45" s="2">
        <v>1.9978689397975493</v>
      </c>
      <c r="G45" s="2">
        <v>4.0021310602024505</v>
      </c>
    </row>
    <row r="46" spans="1:7" x14ac:dyDescent="0.2">
      <c r="A46" t="s">
        <v>100</v>
      </c>
      <c r="B46">
        <v>427.2</v>
      </c>
      <c r="C46" t="s">
        <v>12</v>
      </c>
      <c r="D46">
        <v>2.14</v>
      </c>
      <c r="E46">
        <v>2.1</v>
      </c>
      <c r="F46" s="2">
        <v>1.75561797752809</v>
      </c>
      <c r="G46" s="2">
        <v>4.2443820224719104</v>
      </c>
    </row>
    <row r="47" spans="1:7" x14ac:dyDescent="0.2">
      <c r="A47" t="s">
        <v>102</v>
      </c>
      <c r="B47">
        <v>329.5</v>
      </c>
      <c r="C47" t="s">
        <v>12</v>
      </c>
      <c r="D47">
        <v>2.15</v>
      </c>
      <c r="E47">
        <v>2.2400000000000002</v>
      </c>
      <c r="F47" s="2">
        <v>2.2761760242792111</v>
      </c>
      <c r="G47" s="2">
        <v>3.7238239757207889</v>
      </c>
    </row>
    <row r="48" spans="1:7" x14ac:dyDescent="0.2">
      <c r="A48" t="s">
        <v>104</v>
      </c>
      <c r="B48">
        <v>325</v>
      </c>
      <c r="C48" t="s">
        <v>12</v>
      </c>
      <c r="D48">
        <v>2.16</v>
      </c>
      <c r="E48">
        <v>2.17</v>
      </c>
      <c r="F48" s="2">
        <v>2.3076923076923075</v>
      </c>
      <c r="G48" s="2">
        <v>3.6923076923076925</v>
      </c>
    </row>
    <row r="49" spans="1:7" x14ac:dyDescent="0.2">
      <c r="A49" t="s">
        <v>106</v>
      </c>
      <c r="B49">
        <v>352.8</v>
      </c>
      <c r="C49" t="s">
        <v>12</v>
      </c>
      <c r="D49">
        <v>2.17</v>
      </c>
      <c r="E49">
        <v>1.94</v>
      </c>
      <c r="F49" s="2">
        <v>2.1258503401360542</v>
      </c>
      <c r="G49" s="2">
        <v>3.8741496598639458</v>
      </c>
    </row>
    <row r="50" spans="1:7" x14ac:dyDescent="0.2">
      <c r="A50" t="s">
        <v>108</v>
      </c>
      <c r="B50">
        <v>407.9</v>
      </c>
      <c r="C50" t="s">
        <v>12</v>
      </c>
      <c r="D50">
        <v>2.14</v>
      </c>
      <c r="E50">
        <v>2.25</v>
      </c>
      <c r="F50" s="2">
        <v>1.8386859524393235</v>
      </c>
      <c r="G50" s="2">
        <v>4.1613140475606762</v>
      </c>
    </row>
    <row r="51" spans="1:7" x14ac:dyDescent="0.2">
      <c r="A51" t="s">
        <v>110</v>
      </c>
      <c r="B51">
        <v>330.7</v>
      </c>
      <c r="C51" t="s">
        <v>12</v>
      </c>
      <c r="D51">
        <v>2.15</v>
      </c>
      <c r="E51">
        <v>2.12</v>
      </c>
      <c r="F51" s="2">
        <v>2.2679165406713033</v>
      </c>
      <c r="G51" s="2">
        <v>3.7320834593286967</v>
      </c>
    </row>
    <row r="52" spans="1:7" x14ac:dyDescent="0.2">
      <c r="A52" t="s">
        <v>112</v>
      </c>
      <c r="B52">
        <v>125.2</v>
      </c>
      <c r="C52" t="s">
        <v>12</v>
      </c>
      <c r="D52">
        <v>2.12</v>
      </c>
      <c r="E52">
        <v>1.32</v>
      </c>
      <c r="F52" s="2">
        <v>5.9904153354632586</v>
      </c>
      <c r="G52" s="2">
        <v>9.5846645367414496E-3</v>
      </c>
    </row>
    <row r="53" spans="1:7" x14ac:dyDescent="0.2">
      <c r="A53" t="s">
        <v>114</v>
      </c>
      <c r="B53">
        <v>268.10000000000002</v>
      </c>
      <c r="C53" t="s">
        <v>12</v>
      </c>
      <c r="D53">
        <v>2.15</v>
      </c>
      <c r="E53">
        <v>2.13</v>
      </c>
      <c r="F53" s="2">
        <v>2.7974636329727711</v>
      </c>
      <c r="G53" s="2">
        <v>3.2025363670272289</v>
      </c>
    </row>
    <row r="54" spans="1:7" x14ac:dyDescent="0.2">
      <c r="A54" t="s">
        <v>116</v>
      </c>
      <c r="B54">
        <v>285.3</v>
      </c>
      <c r="C54" t="s">
        <v>12</v>
      </c>
      <c r="D54">
        <v>2.16</v>
      </c>
      <c r="E54">
        <v>1.62</v>
      </c>
      <c r="F54" s="2">
        <v>2.6288117770767614</v>
      </c>
      <c r="G54" s="2">
        <v>3.3711882229232386</v>
      </c>
    </row>
    <row r="55" spans="1:7" x14ac:dyDescent="0.2">
      <c r="A55" t="s">
        <v>118</v>
      </c>
      <c r="B55">
        <v>307.7</v>
      </c>
      <c r="C55" t="s">
        <v>12</v>
      </c>
      <c r="D55">
        <v>2.15</v>
      </c>
      <c r="E55">
        <v>2.09</v>
      </c>
      <c r="F55" s="2">
        <v>2.4374390640233994</v>
      </c>
      <c r="G55" s="2">
        <v>3.5625609359766006</v>
      </c>
    </row>
    <row r="56" spans="1:7" x14ac:dyDescent="0.2">
      <c r="A56" t="s">
        <v>120</v>
      </c>
      <c r="B56">
        <v>261.10000000000002</v>
      </c>
      <c r="C56" t="s">
        <v>12</v>
      </c>
      <c r="D56">
        <v>2.15</v>
      </c>
      <c r="E56">
        <v>1.81</v>
      </c>
      <c r="F56" s="2">
        <v>2.8724626579854458</v>
      </c>
      <c r="G56" s="2">
        <v>3.1275373420145542</v>
      </c>
    </row>
    <row r="57" spans="1:7" x14ac:dyDescent="0.2">
      <c r="A57" t="s">
        <v>122</v>
      </c>
      <c r="B57">
        <v>181.5</v>
      </c>
      <c r="C57" t="s">
        <v>12</v>
      </c>
      <c r="D57">
        <v>2.13</v>
      </c>
      <c r="E57">
        <v>1.86</v>
      </c>
      <c r="F57" s="2">
        <v>4.1322314049586772</v>
      </c>
      <c r="G57" s="2">
        <v>1.8677685950413228</v>
      </c>
    </row>
    <row r="58" spans="1:7" x14ac:dyDescent="0.2">
      <c r="A58" t="s">
        <v>124</v>
      </c>
      <c r="B58">
        <v>379.6</v>
      </c>
      <c r="C58" t="s">
        <v>12</v>
      </c>
      <c r="D58">
        <v>2.14</v>
      </c>
      <c r="E58">
        <v>1.79</v>
      </c>
      <c r="F58" s="2">
        <v>1.9757639620653318</v>
      </c>
      <c r="G58" s="2">
        <v>4.024236037934668</v>
      </c>
    </row>
    <row r="59" spans="1:7" x14ac:dyDescent="0.2">
      <c r="A59" t="s">
        <v>126</v>
      </c>
      <c r="B59">
        <v>318.39999999999998</v>
      </c>
      <c r="C59" t="s">
        <v>12</v>
      </c>
      <c r="D59">
        <v>2.14</v>
      </c>
      <c r="E59">
        <v>1.94</v>
      </c>
      <c r="F59" s="2">
        <v>2.3555276381909551</v>
      </c>
      <c r="G59" s="2">
        <v>3.6444723618090449</v>
      </c>
    </row>
    <row r="60" spans="1:7" x14ac:dyDescent="0.2">
      <c r="A60" t="s">
        <v>128</v>
      </c>
      <c r="B60">
        <v>307.2</v>
      </c>
      <c r="C60" t="s">
        <v>12</v>
      </c>
      <c r="D60">
        <v>2.14</v>
      </c>
      <c r="E60">
        <v>1.86</v>
      </c>
      <c r="F60" s="2">
        <v>2.44140625</v>
      </c>
      <c r="G60" s="2">
        <v>3.55859375</v>
      </c>
    </row>
    <row r="61" spans="1:7" x14ac:dyDescent="0.2">
      <c r="A61" t="s">
        <v>130</v>
      </c>
      <c r="B61">
        <v>358.1</v>
      </c>
      <c r="C61" t="s">
        <v>12</v>
      </c>
      <c r="D61">
        <v>2.14</v>
      </c>
      <c r="E61">
        <v>2.2599999999999998</v>
      </c>
      <c r="F61" s="2">
        <v>2.0943870427254954</v>
      </c>
      <c r="G61" s="2">
        <v>3.9056129572745046</v>
      </c>
    </row>
    <row r="62" spans="1:7" x14ac:dyDescent="0.2">
      <c r="A62" t="s">
        <v>132</v>
      </c>
      <c r="B62">
        <v>340.3</v>
      </c>
      <c r="C62" t="s">
        <v>12</v>
      </c>
      <c r="D62">
        <v>2.15</v>
      </c>
      <c r="E62">
        <v>1.77</v>
      </c>
      <c r="F62" s="2">
        <v>2.2039377020276225</v>
      </c>
      <c r="G62" s="2">
        <v>3.7960622979723775</v>
      </c>
    </row>
    <row r="63" spans="1:7" x14ac:dyDescent="0.2">
      <c r="A63" t="s">
        <v>134</v>
      </c>
      <c r="B63">
        <v>183.9</v>
      </c>
      <c r="C63" t="s">
        <v>12</v>
      </c>
      <c r="D63">
        <v>2.12</v>
      </c>
      <c r="E63">
        <v>1.92</v>
      </c>
      <c r="F63" s="2">
        <v>4.0783034257748776</v>
      </c>
      <c r="G63" s="2">
        <v>1.9216965742251224</v>
      </c>
    </row>
    <row r="64" spans="1:7" x14ac:dyDescent="0.2">
      <c r="A64" t="s">
        <v>136</v>
      </c>
      <c r="B64">
        <v>239</v>
      </c>
      <c r="C64" t="s">
        <v>12</v>
      </c>
      <c r="D64">
        <v>2.1</v>
      </c>
      <c r="E64">
        <v>2.0299999999999998</v>
      </c>
      <c r="F64" s="2">
        <v>3.1380753138075312</v>
      </c>
      <c r="G64" s="2">
        <v>2.8619246861924688</v>
      </c>
    </row>
    <row r="65" spans="1:7" x14ac:dyDescent="0.2">
      <c r="A65" t="s">
        <v>138</v>
      </c>
      <c r="B65">
        <v>369.3</v>
      </c>
      <c r="C65" t="s">
        <v>12</v>
      </c>
      <c r="D65">
        <v>2.15</v>
      </c>
      <c r="E65">
        <v>2.21</v>
      </c>
      <c r="F65" s="2">
        <v>2.0308692120227456</v>
      </c>
      <c r="G65" s="2">
        <v>3.9691307879772544</v>
      </c>
    </row>
    <row r="66" spans="1:7" x14ac:dyDescent="0.2">
      <c r="A66" t="s">
        <v>140</v>
      </c>
      <c r="B66">
        <v>226.1</v>
      </c>
      <c r="C66" t="s">
        <v>12</v>
      </c>
      <c r="D66">
        <v>2.06</v>
      </c>
      <c r="E66">
        <v>1.48</v>
      </c>
      <c r="F66" s="2">
        <v>3.3171163202122957</v>
      </c>
      <c r="G66" s="2">
        <v>2.6828836797877043</v>
      </c>
    </row>
    <row r="67" spans="1:7" x14ac:dyDescent="0.2">
      <c r="A67" t="s">
        <v>142</v>
      </c>
      <c r="B67">
        <v>318</v>
      </c>
      <c r="C67" t="s">
        <v>12</v>
      </c>
      <c r="D67">
        <v>2.11</v>
      </c>
      <c r="E67">
        <v>1.71</v>
      </c>
      <c r="F67" s="2">
        <v>2.358490566037736</v>
      </c>
      <c r="G67" s="2">
        <v>3.641509433962264</v>
      </c>
    </row>
    <row r="68" spans="1:7" x14ac:dyDescent="0.2">
      <c r="A68" t="s">
        <v>144</v>
      </c>
      <c r="B68">
        <v>190.3</v>
      </c>
      <c r="C68" t="s">
        <v>12</v>
      </c>
      <c r="D68">
        <v>2.11</v>
      </c>
      <c r="E68">
        <v>1.31</v>
      </c>
      <c r="F68" s="2">
        <v>3.9411455596426692</v>
      </c>
      <c r="G68" s="2">
        <v>2.0588544403573308</v>
      </c>
    </row>
    <row r="69" spans="1:7" x14ac:dyDescent="0.2">
      <c r="A69" t="s">
        <v>146</v>
      </c>
      <c r="B69">
        <v>238.5</v>
      </c>
      <c r="C69" t="s">
        <v>12</v>
      </c>
      <c r="D69">
        <v>2.1</v>
      </c>
      <c r="E69">
        <v>1.89</v>
      </c>
      <c r="F69" s="2">
        <v>3.1446540880503147</v>
      </c>
      <c r="G69" s="2">
        <v>2.8553459119496853</v>
      </c>
    </row>
    <row r="70" spans="1:7" x14ac:dyDescent="0.2">
      <c r="A70" t="s">
        <v>148</v>
      </c>
      <c r="B70">
        <v>235.8</v>
      </c>
      <c r="C70" t="s">
        <v>12</v>
      </c>
      <c r="D70">
        <v>2.13</v>
      </c>
      <c r="E70">
        <v>1.83</v>
      </c>
      <c r="F70" s="2">
        <v>3.1806615776081424</v>
      </c>
      <c r="G70" s="2">
        <v>2.8193384223918576</v>
      </c>
    </row>
    <row r="71" spans="1:7" x14ac:dyDescent="0.2">
      <c r="A71" t="s">
        <v>150</v>
      </c>
      <c r="B71">
        <v>271.10000000000002</v>
      </c>
      <c r="C71" t="s">
        <v>12</v>
      </c>
      <c r="D71">
        <v>2.16</v>
      </c>
      <c r="E71">
        <v>1.81</v>
      </c>
      <c r="F71" s="2">
        <v>2.7665068240501656</v>
      </c>
      <c r="G71" s="2">
        <v>3.2334931759498344</v>
      </c>
    </row>
    <row r="72" spans="1:7" x14ac:dyDescent="0.2">
      <c r="A72" t="s">
        <v>152</v>
      </c>
      <c r="B72">
        <v>327.10000000000002</v>
      </c>
      <c r="C72" t="s">
        <v>12</v>
      </c>
      <c r="D72">
        <v>2.14</v>
      </c>
      <c r="E72">
        <v>2.1800000000000002</v>
      </c>
      <c r="F72" s="2">
        <v>2.2928767960868233</v>
      </c>
      <c r="G72" s="2">
        <v>3.7071232039131767</v>
      </c>
    </row>
    <row r="73" spans="1:7" x14ac:dyDescent="0.2">
      <c r="A73" t="s">
        <v>154</v>
      </c>
      <c r="B73">
        <v>254</v>
      </c>
      <c r="C73" t="s">
        <v>12</v>
      </c>
      <c r="D73">
        <v>2.16</v>
      </c>
      <c r="E73">
        <v>1.52</v>
      </c>
      <c r="F73" s="2">
        <v>2.9527559055118111</v>
      </c>
      <c r="G73" s="2">
        <v>3.0472440944881889</v>
      </c>
    </row>
    <row r="74" spans="1:7" x14ac:dyDescent="0.2">
      <c r="A74" t="s">
        <v>156</v>
      </c>
      <c r="B74">
        <v>278.89999999999998</v>
      </c>
      <c r="C74" t="s">
        <v>12</v>
      </c>
      <c r="D74">
        <v>2.14</v>
      </c>
      <c r="E74">
        <v>0.61</v>
      </c>
      <c r="F74" s="2">
        <v>2.6891358910003587</v>
      </c>
      <c r="G74" s="2">
        <v>3.3108641089996413</v>
      </c>
    </row>
    <row r="75" spans="1:7" x14ac:dyDescent="0.2">
      <c r="A75" t="s">
        <v>158</v>
      </c>
      <c r="B75">
        <v>265.3</v>
      </c>
      <c r="C75" t="s">
        <v>12</v>
      </c>
      <c r="D75">
        <v>2.15</v>
      </c>
      <c r="E75">
        <v>2.0099999999999998</v>
      </c>
      <c r="F75" s="2">
        <v>2.826988315114964</v>
      </c>
      <c r="G75" s="2">
        <v>3.173011684885036</v>
      </c>
    </row>
    <row r="76" spans="1:7" x14ac:dyDescent="0.2">
      <c r="A76" t="s">
        <v>160</v>
      </c>
      <c r="B76">
        <v>300.7</v>
      </c>
      <c r="C76" t="s">
        <v>12</v>
      </c>
      <c r="D76">
        <v>2.08</v>
      </c>
      <c r="E76">
        <v>1.75</v>
      </c>
      <c r="F76" s="2">
        <v>2.4941802460924509</v>
      </c>
      <c r="G76" s="2">
        <v>3.5058197539075491</v>
      </c>
    </row>
    <row r="77" spans="1:7" x14ac:dyDescent="0.2">
      <c r="A77" t="s">
        <v>162</v>
      </c>
      <c r="B77">
        <v>248.9</v>
      </c>
      <c r="C77" t="s">
        <v>12</v>
      </c>
      <c r="D77">
        <v>2.17</v>
      </c>
      <c r="E77">
        <v>0.87</v>
      </c>
      <c r="F77" s="2">
        <v>3.0132583366813979</v>
      </c>
      <c r="G77" s="2">
        <v>2.9867416633186021</v>
      </c>
    </row>
    <row r="78" spans="1:7" x14ac:dyDescent="0.2">
      <c r="A78" t="s">
        <v>164</v>
      </c>
      <c r="B78">
        <v>523.6</v>
      </c>
      <c r="C78" t="s">
        <v>12</v>
      </c>
      <c r="D78">
        <v>2.14</v>
      </c>
      <c r="E78">
        <v>1.84</v>
      </c>
      <c r="F78" s="2">
        <v>1.4323911382734911</v>
      </c>
      <c r="G78" s="2">
        <v>4.5676088617265087</v>
      </c>
    </row>
    <row r="79" spans="1:7" x14ac:dyDescent="0.2">
      <c r="A79" t="s">
        <v>166</v>
      </c>
      <c r="B79">
        <v>75.2</v>
      </c>
      <c r="C79" t="s">
        <v>12</v>
      </c>
      <c r="D79">
        <v>2.15</v>
      </c>
      <c r="E79">
        <v>0.46</v>
      </c>
      <c r="F79" s="2">
        <v>6</v>
      </c>
      <c r="G79" s="2">
        <v>0</v>
      </c>
    </row>
    <row r="80" spans="1:7" x14ac:dyDescent="0.2">
      <c r="A80" t="s">
        <v>168</v>
      </c>
      <c r="B80">
        <v>249.7</v>
      </c>
      <c r="C80" t="s">
        <v>12</v>
      </c>
      <c r="D80">
        <v>2.12</v>
      </c>
      <c r="E80">
        <v>1.51</v>
      </c>
      <c r="F80" s="2">
        <v>3.0036043251902282</v>
      </c>
      <c r="G80" s="2">
        <v>2.9963956748097718</v>
      </c>
    </row>
    <row r="81" spans="1:7" x14ac:dyDescent="0.2">
      <c r="A81" t="s">
        <v>170</v>
      </c>
      <c r="B81">
        <v>331.4</v>
      </c>
      <c r="C81" t="s">
        <v>12</v>
      </c>
      <c r="D81">
        <v>2.14</v>
      </c>
      <c r="E81">
        <v>1.92</v>
      </c>
      <c r="F81" s="2">
        <v>2.263126131563066</v>
      </c>
      <c r="G81" s="2">
        <v>3.736873868436934</v>
      </c>
    </row>
    <row r="82" spans="1:7" x14ac:dyDescent="0.2">
      <c r="A82" t="s">
        <v>172</v>
      </c>
      <c r="B82">
        <v>235.4</v>
      </c>
      <c r="C82" t="s">
        <v>12</v>
      </c>
      <c r="D82">
        <v>2.15</v>
      </c>
      <c r="E82">
        <v>1.43</v>
      </c>
      <c r="F82" s="2">
        <v>3.1860662701784195</v>
      </c>
      <c r="G82" s="2">
        <v>2.8139337298215805</v>
      </c>
    </row>
    <row r="83" spans="1:7" x14ac:dyDescent="0.2">
      <c r="A83" t="s">
        <v>174</v>
      </c>
      <c r="B83">
        <v>409.9</v>
      </c>
      <c r="C83" t="s">
        <v>12</v>
      </c>
      <c r="D83">
        <v>2.15</v>
      </c>
      <c r="E83">
        <v>2.13</v>
      </c>
      <c r="F83" s="2">
        <v>1.8297145645279338</v>
      </c>
      <c r="G83" s="2">
        <v>4.1702854354720662</v>
      </c>
    </row>
    <row r="84" spans="1:7" x14ac:dyDescent="0.2">
      <c r="A84" t="s">
        <v>176</v>
      </c>
      <c r="B84">
        <v>163.1</v>
      </c>
      <c r="C84" t="s">
        <v>12</v>
      </c>
      <c r="D84">
        <v>2.14</v>
      </c>
      <c r="E84">
        <v>0.82</v>
      </c>
      <c r="F84" s="2">
        <v>4.5984058859595338</v>
      </c>
      <c r="G84" s="2">
        <v>1.4015941140404662</v>
      </c>
    </row>
    <row r="85" spans="1:7" x14ac:dyDescent="0.2">
      <c r="A85" t="s">
        <v>178</v>
      </c>
      <c r="B85">
        <v>293.5</v>
      </c>
      <c r="C85" t="s">
        <v>12</v>
      </c>
      <c r="D85">
        <v>2.13</v>
      </c>
      <c r="E85">
        <v>2.19</v>
      </c>
      <c r="F85" s="2">
        <v>2.5553662691652472</v>
      </c>
      <c r="G85" s="2">
        <v>3.4446337308347528</v>
      </c>
    </row>
    <row r="86" spans="1:7" x14ac:dyDescent="0.2">
      <c r="A86" t="s">
        <v>180</v>
      </c>
      <c r="B86">
        <v>177.7</v>
      </c>
      <c r="C86" t="s">
        <v>12</v>
      </c>
      <c r="D86">
        <v>2.19</v>
      </c>
      <c r="E86">
        <v>0.93</v>
      </c>
      <c r="F86" s="2">
        <v>4.220596510973551</v>
      </c>
      <c r="G86" s="2">
        <v>1.779403489026449</v>
      </c>
    </row>
    <row r="87" spans="1:7" x14ac:dyDescent="0.2">
      <c r="A87" t="s">
        <v>182</v>
      </c>
      <c r="B87">
        <v>115.1</v>
      </c>
      <c r="C87" t="s">
        <v>12</v>
      </c>
      <c r="D87">
        <v>2.1</v>
      </c>
      <c r="E87">
        <v>1.1499999999999999</v>
      </c>
      <c r="F87" s="2">
        <v>6</v>
      </c>
      <c r="G87" s="2">
        <v>0</v>
      </c>
    </row>
    <row r="88" spans="1:7" x14ac:dyDescent="0.2">
      <c r="A88" t="s">
        <v>184</v>
      </c>
      <c r="B88">
        <v>277.10000000000002</v>
      </c>
      <c r="C88" t="s">
        <v>12</v>
      </c>
      <c r="D88">
        <v>2.15</v>
      </c>
      <c r="E88">
        <v>1.3</v>
      </c>
      <c r="F88" s="2">
        <v>2.7066041140382531</v>
      </c>
      <c r="G88" s="2">
        <v>3.2933958859617469</v>
      </c>
    </row>
    <row r="89" spans="1:7" x14ac:dyDescent="0.2">
      <c r="A89" t="s">
        <v>186</v>
      </c>
      <c r="B89">
        <v>125.9</v>
      </c>
      <c r="C89" t="s">
        <v>12</v>
      </c>
      <c r="D89">
        <v>2.17</v>
      </c>
      <c r="E89">
        <v>0.36</v>
      </c>
      <c r="F89" s="2">
        <v>5.957108816521048</v>
      </c>
      <c r="G89" s="2">
        <v>4.2891183478952044E-2</v>
      </c>
    </row>
    <row r="90" spans="1:7" x14ac:dyDescent="0.2">
      <c r="A90" t="s">
        <v>188</v>
      </c>
      <c r="B90">
        <v>63.3</v>
      </c>
      <c r="C90" t="s">
        <v>12</v>
      </c>
      <c r="D90">
        <v>2.0499999999999998</v>
      </c>
      <c r="E90">
        <v>0.53</v>
      </c>
      <c r="F90" s="2">
        <v>6</v>
      </c>
      <c r="G90" s="2">
        <v>0</v>
      </c>
    </row>
    <row r="91" spans="1:7" x14ac:dyDescent="0.2">
      <c r="A91" t="s">
        <v>190</v>
      </c>
      <c r="B91">
        <v>348.7</v>
      </c>
      <c r="C91" t="s">
        <v>12</v>
      </c>
      <c r="D91">
        <v>2.11</v>
      </c>
      <c r="E91">
        <v>1.9</v>
      </c>
      <c r="F91" s="2">
        <v>2.1508459994264411</v>
      </c>
      <c r="G91" s="2">
        <v>3.8491540005735589</v>
      </c>
    </row>
    <row r="92" spans="1:7" x14ac:dyDescent="0.2">
      <c r="A92" t="s">
        <v>192</v>
      </c>
      <c r="B92">
        <v>89.3</v>
      </c>
      <c r="C92" t="s">
        <v>12</v>
      </c>
      <c r="D92">
        <v>1.98</v>
      </c>
      <c r="E92">
        <v>0.71</v>
      </c>
      <c r="F92" s="2">
        <v>6</v>
      </c>
      <c r="G92" s="2">
        <v>0</v>
      </c>
    </row>
    <row r="93" spans="1:7" x14ac:dyDescent="0.2">
      <c r="A93" t="s">
        <v>194</v>
      </c>
      <c r="B93">
        <v>317.89999999999998</v>
      </c>
      <c r="C93" t="s">
        <v>12</v>
      </c>
      <c r="D93">
        <v>2.15</v>
      </c>
      <c r="E93">
        <v>1.55</v>
      </c>
      <c r="F93" s="2">
        <v>2.3592324630386914</v>
      </c>
      <c r="G93" s="2">
        <v>3.6407675369613086</v>
      </c>
    </row>
    <row r="94" spans="1:7" x14ac:dyDescent="0.2">
      <c r="A94" t="s">
        <v>196</v>
      </c>
      <c r="B94">
        <v>317.7</v>
      </c>
      <c r="C94" t="s">
        <v>12</v>
      </c>
      <c r="D94">
        <v>2.09</v>
      </c>
      <c r="E94">
        <v>1.25</v>
      </c>
      <c r="F94" s="2">
        <v>2.3607176581680833</v>
      </c>
      <c r="G94" s="2">
        <v>3.6392823418319167</v>
      </c>
    </row>
    <row r="95" spans="1:7" x14ac:dyDescent="0.2">
      <c r="A95" t="s">
        <v>198</v>
      </c>
      <c r="B95">
        <v>233.6</v>
      </c>
      <c r="C95" t="s">
        <v>12</v>
      </c>
      <c r="D95">
        <v>2.0699999999999998</v>
      </c>
      <c r="E95">
        <v>1.1599999999999999</v>
      </c>
      <c r="F95" s="2">
        <v>3.2106164383561646</v>
      </c>
      <c r="G95" s="2">
        <v>2.7893835616438354</v>
      </c>
    </row>
    <row r="96" spans="1:7" x14ac:dyDescent="0.2">
      <c r="A96" t="s">
        <v>200</v>
      </c>
      <c r="B96">
        <v>223.2</v>
      </c>
      <c r="C96" t="s">
        <v>12</v>
      </c>
      <c r="D96">
        <v>2.12</v>
      </c>
      <c r="E96">
        <v>1.73</v>
      </c>
      <c r="F96" s="2">
        <v>3.360215053763441</v>
      </c>
      <c r="G96" s="2">
        <v>2.639784946236559</v>
      </c>
    </row>
    <row r="97" spans="1:7" x14ac:dyDescent="0.2">
      <c r="A97" t="s">
        <v>202</v>
      </c>
      <c r="B97">
        <v>278.8</v>
      </c>
      <c r="C97" t="s">
        <v>12</v>
      </c>
      <c r="D97">
        <v>2.13</v>
      </c>
      <c r="E97">
        <v>0.77</v>
      </c>
      <c r="F97" s="2">
        <v>2.6901004304160687</v>
      </c>
      <c r="G97" s="2">
        <v>3.3098995695839313</v>
      </c>
    </row>
    <row r="98" spans="1:7" x14ac:dyDescent="0.2">
      <c r="A98" t="s">
        <v>204</v>
      </c>
      <c r="B98">
        <v>213.3</v>
      </c>
      <c r="C98" t="s">
        <v>12</v>
      </c>
      <c r="D98">
        <v>2.11</v>
      </c>
      <c r="E98">
        <v>1.73</v>
      </c>
      <c r="F98" s="2">
        <v>3.5161744022503516</v>
      </c>
      <c r="G98" s="2">
        <v>2.4838255977496484</v>
      </c>
    </row>
    <row r="99" spans="1:7" x14ac:dyDescent="0.2">
      <c r="A99" t="s">
        <v>206</v>
      </c>
      <c r="B99">
        <v>258.89999999999998</v>
      </c>
      <c r="C99" t="s">
        <v>12</v>
      </c>
      <c r="D99">
        <v>2.12</v>
      </c>
      <c r="E99">
        <v>0.62</v>
      </c>
      <c r="F99" s="2">
        <v>2.8968713789107765</v>
      </c>
      <c r="G99" s="2">
        <v>3.1031286210892235</v>
      </c>
    </row>
    <row r="100" spans="1:7" x14ac:dyDescent="0.2">
      <c r="A100" t="s">
        <v>208</v>
      </c>
      <c r="B100">
        <v>151.80000000000001</v>
      </c>
      <c r="C100" t="s">
        <v>12</v>
      </c>
      <c r="D100">
        <v>2.08</v>
      </c>
      <c r="E100">
        <v>1.5</v>
      </c>
      <c r="F100" s="2">
        <v>4.9407114624505928</v>
      </c>
      <c r="G100" s="2">
        <v>1.0592885375494072</v>
      </c>
    </row>
    <row r="101" spans="1:7" x14ac:dyDescent="0.2">
      <c r="A101" t="s">
        <v>210</v>
      </c>
      <c r="B101">
        <v>111.7</v>
      </c>
      <c r="C101" t="s">
        <v>12</v>
      </c>
      <c r="D101">
        <v>2.0299999999999998</v>
      </c>
      <c r="E101">
        <v>0.84</v>
      </c>
      <c r="F101" s="2">
        <v>6</v>
      </c>
      <c r="G101" s="2">
        <v>0</v>
      </c>
    </row>
    <row r="102" spans="1:7" x14ac:dyDescent="0.2">
      <c r="A102" t="s">
        <v>212</v>
      </c>
      <c r="B102">
        <v>158.69999999999999</v>
      </c>
      <c r="C102" t="s">
        <v>12</v>
      </c>
      <c r="D102">
        <v>2.11</v>
      </c>
      <c r="E102">
        <v>0.53</v>
      </c>
      <c r="F102" s="2">
        <v>4.7258979206049156</v>
      </c>
      <c r="G102" s="2">
        <v>1.2741020793950844</v>
      </c>
    </row>
    <row r="103" spans="1:7" x14ac:dyDescent="0.2">
      <c r="A103" t="s">
        <v>214</v>
      </c>
      <c r="B103">
        <v>234.4</v>
      </c>
      <c r="C103" t="s">
        <v>12</v>
      </c>
      <c r="D103">
        <v>2.08</v>
      </c>
      <c r="E103">
        <v>1.25</v>
      </c>
      <c r="F103" s="2">
        <v>3.1996587030716723</v>
      </c>
      <c r="G103" s="2">
        <v>2.8003412969283277</v>
      </c>
    </row>
    <row r="104" spans="1:7" x14ac:dyDescent="0.2">
      <c r="A104" t="s">
        <v>216</v>
      </c>
      <c r="B104">
        <v>172.3</v>
      </c>
      <c r="C104" t="s">
        <v>12</v>
      </c>
      <c r="D104">
        <v>2.13</v>
      </c>
      <c r="E104">
        <v>2.12</v>
      </c>
      <c r="F104" s="2">
        <v>4.3528728961114336</v>
      </c>
      <c r="G104" s="2">
        <v>1.6471271038885664</v>
      </c>
    </row>
    <row r="105" spans="1:7" x14ac:dyDescent="0.2">
      <c r="A105" t="s">
        <v>218</v>
      </c>
      <c r="B105">
        <v>90.1</v>
      </c>
      <c r="C105" t="s">
        <v>12</v>
      </c>
      <c r="D105">
        <v>2.1</v>
      </c>
      <c r="E105">
        <v>0.53</v>
      </c>
      <c r="F105" s="2">
        <v>6</v>
      </c>
      <c r="G105" s="2">
        <v>0</v>
      </c>
    </row>
    <row r="106" spans="1:7" x14ac:dyDescent="0.2">
      <c r="A106" t="s">
        <v>220</v>
      </c>
      <c r="B106">
        <v>174.9</v>
      </c>
      <c r="C106" t="s">
        <v>12</v>
      </c>
      <c r="D106">
        <v>2.08</v>
      </c>
      <c r="E106">
        <v>1.32</v>
      </c>
      <c r="F106" s="2">
        <v>4.2881646655231558</v>
      </c>
      <c r="G106" s="2">
        <v>1.7118353344768442</v>
      </c>
    </row>
    <row r="107" spans="1:7" x14ac:dyDescent="0.2">
      <c r="A107" t="s">
        <v>222</v>
      </c>
      <c r="B107">
        <v>158.80000000000001</v>
      </c>
      <c r="C107" t="s">
        <v>12</v>
      </c>
      <c r="D107">
        <v>2.08</v>
      </c>
      <c r="E107">
        <v>1.81</v>
      </c>
      <c r="F107" s="2">
        <v>4.7229219143576824</v>
      </c>
      <c r="G107" s="2">
        <v>1.2770780856423176</v>
      </c>
    </row>
    <row r="108" spans="1:7" x14ac:dyDescent="0.2">
      <c r="A108" t="s">
        <v>224</v>
      </c>
      <c r="B108">
        <v>99.3</v>
      </c>
      <c r="C108" t="s">
        <v>12</v>
      </c>
      <c r="D108">
        <v>2.09</v>
      </c>
      <c r="E108">
        <v>1.26</v>
      </c>
      <c r="F108" s="2">
        <v>6</v>
      </c>
      <c r="G108" s="2">
        <v>0</v>
      </c>
    </row>
    <row r="109" spans="1:7" x14ac:dyDescent="0.2">
      <c r="A109" t="s">
        <v>226</v>
      </c>
      <c r="B109">
        <v>228.6</v>
      </c>
      <c r="C109" t="s">
        <v>12</v>
      </c>
      <c r="D109">
        <v>2.12</v>
      </c>
      <c r="E109">
        <v>1.98</v>
      </c>
      <c r="F109" s="2">
        <v>3.2808398950131235</v>
      </c>
      <c r="G109" s="2">
        <v>2.7191601049868765</v>
      </c>
    </row>
    <row r="110" spans="1:7" x14ac:dyDescent="0.2">
      <c r="A110" t="s">
        <v>228</v>
      </c>
      <c r="B110">
        <v>76.5</v>
      </c>
      <c r="C110" t="s">
        <v>12</v>
      </c>
      <c r="D110">
        <v>2.04</v>
      </c>
      <c r="E110">
        <v>0.42</v>
      </c>
      <c r="F110" s="2">
        <v>6</v>
      </c>
      <c r="G110" s="2">
        <v>0</v>
      </c>
    </row>
    <row r="111" spans="1:7" x14ac:dyDescent="0.2">
      <c r="A111" t="s">
        <v>230</v>
      </c>
      <c r="B111">
        <v>179.7</v>
      </c>
      <c r="C111" t="s">
        <v>12</v>
      </c>
      <c r="D111">
        <v>2.1</v>
      </c>
      <c r="E111">
        <v>1.61</v>
      </c>
      <c r="F111" s="2">
        <v>4.1736227045075127</v>
      </c>
      <c r="G111" s="2">
        <v>1.8263772954924873</v>
      </c>
    </row>
    <row r="112" spans="1:7" x14ac:dyDescent="0.2">
      <c r="A112" t="s">
        <v>232</v>
      </c>
      <c r="B112">
        <v>131.4</v>
      </c>
      <c r="C112" t="s">
        <v>12</v>
      </c>
      <c r="D112">
        <v>2</v>
      </c>
      <c r="E112">
        <v>0.57999999999999996</v>
      </c>
      <c r="F112" s="2">
        <v>5.7077625570776256</v>
      </c>
      <c r="G112" s="2">
        <v>0.29223744292237441</v>
      </c>
    </row>
    <row r="113" spans="1:7" x14ac:dyDescent="0.2">
      <c r="A113" t="s">
        <v>234</v>
      </c>
      <c r="B113">
        <v>109.7</v>
      </c>
      <c r="C113" t="s">
        <v>12</v>
      </c>
      <c r="D113">
        <v>2.12</v>
      </c>
      <c r="E113">
        <v>0.57999999999999996</v>
      </c>
      <c r="F113" s="2">
        <v>6</v>
      </c>
      <c r="G113" s="2">
        <v>0</v>
      </c>
    </row>
    <row r="114" spans="1:7" x14ac:dyDescent="0.2">
      <c r="A114" t="s">
        <v>236</v>
      </c>
      <c r="B114">
        <v>155.6</v>
      </c>
      <c r="C114" t="s">
        <v>12</v>
      </c>
      <c r="D114">
        <v>2.08</v>
      </c>
      <c r="E114">
        <v>1.24</v>
      </c>
      <c r="F114" s="2">
        <v>4.8200514138817478</v>
      </c>
      <c r="G114" s="2">
        <v>1.1799485861182522</v>
      </c>
    </row>
  </sheetData>
  <conditionalFormatting sqref="F1">
    <cfRule type="cellIs" dxfId="1" priority="2" operator="lessThan">
      <formula>6</formula>
    </cfRule>
  </conditionalFormatting>
  <conditionalFormatting sqref="G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2"/>
  <sheetViews>
    <sheetView workbookViewId="0">
      <selection activeCell="L12" sqref="L12"/>
    </sheetView>
  </sheetViews>
  <sheetFormatPr defaultColWidth="11.42578125" defaultRowHeight="12.75" x14ac:dyDescent="0.2"/>
  <cols>
    <col min="1" max="1" width="6.28515625" customWidth="1"/>
    <col min="2" max="2" width="7.85546875" customWidth="1"/>
    <col min="3" max="3" width="7.7109375" customWidth="1"/>
    <col min="4" max="5" width="8" customWidth="1"/>
    <col min="6" max="6" width="8.140625" customWidth="1"/>
    <col min="7" max="7" width="8" customWidth="1"/>
    <col min="8" max="8" width="7.85546875" customWidth="1"/>
    <col min="9" max="9" width="8" customWidth="1"/>
    <col min="14" max="14" width="4.7109375" customWidth="1"/>
  </cols>
  <sheetData>
    <row r="1" spans="1:22" ht="16.5" thickBot="1" x14ac:dyDescent="0.25">
      <c r="B1" s="4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</row>
    <row r="2" spans="1:22" x14ac:dyDescent="0.2">
      <c r="B2" t="s">
        <v>9</v>
      </c>
      <c r="C2" t="s">
        <v>14</v>
      </c>
      <c r="D2" t="s">
        <v>16</v>
      </c>
      <c r="E2" t="s">
        <v>18</v>
      </c>
      <c r="F2" t="s">
        <v>20</v>
      </c>
      <c r="G2" t="s">
        <v>22</v>
      </c>
      <c r="H2" t="s">
        <v>24</v>
      </c>
      <c r="I2" t="s">
        <v>26</v>
      </c>
      <c r="K2" t="s">
        <v>242</v>
      </c>
    </row>
    <row r="3" spans="1:22" x14ac:dyDescent="0.2">
      <c r="A3">
        <v>1</v>
      </c>
      <c r="B3" s="2">
        <v>1.9088826673453807</v>
      </c>
      <c r="C3" s="2">
        <v>6</v>
      </c>
      <c r="D3" s="2">
        <v>6</v>
      </c>
      <c r="E3" s="2">
        <v>4.8076923076923075</v>
      </c>
      <c r="F3" s="2">
        <v>3.4899953466728708</v>
      </c>
      <c r="G3" s="2">
        <v>2.854967643700038</v>
      </c>
      <c r="H3" s="2">
        <v>6</v>
      </c>
      <c r="I3" s="2">
        <v>4.0961223375204812</v>
      </c>
    </row>
    <row r="4" spans="1:22" x14ac:dyDescent="0.2">
      <c r="B4" s="2">
        <v>4.0911173326546191</v>
      </c>
      <c r="C4" s="2">
        <v>0</v>
      </c>
      <c r="D4" s="2">
        <v>0</v>
      </c>
      <c r="E4" s="2">
        <v>1.1923076923076925</v>
      </c>
      <c r="F4" s="2">
        <v>2.5100046533271292</v>
      </c>
      <c r="G4" s="2">
        <v>3.145032356299962</v>
      </c>
      <c r="H4" s="2">
        <v>0</v>
      </c>
      <c r="I4" s="2">
        <v>1.9038776624795188</v>
      </c>
    </row>
    <row r="6" spans="1:22" ht="13.5" thickBot="1" x14ac:dyDescent="0.25">
      <c r="B6" t="s">
        <v>28</v>
      </c>
      <c r="C6" t="s">
        <v>30</v>
      </c>
      <c r="D6" t="s">
        <v>34</v>
      </c>
      <c r="E6" t="s">
        <v>36</v>
      </c>
      <c r="F6" t="s">
        <v>38</v>
      </c>
      <c r="G6" t="s">
        <v>40</v>
      </c>
      <c r="H6" t="s">
        <v>42</v>
      </c>
      <c r="I6" t="s">
        <v>44</v>
      </c>
    </row>
    <row r="7" spans="1:22" ht="13.5" thickBot="1" x14ac:dyDescent="0.25">
      <c r="A7">
        <v>2</v>
      </c>
      <c r="B7" s="2">
        <v>4.2182227221597302</v>
      </c>
      <c r="C7" s="2">
        <v>2.4501796798431883</v>
      </c>
      <c r="D7" s="2">
        <v>6</v>
      </c>
      <c r="E7" s="2">
        <v>4.5592705167173255</v>
      </c>
      <c r="F7" s="2">
        <v>5.6221889055472261</v>
      </c>
      <c r="G7" s="2">
        <v>6</v>
      </c>
      <c r="H7" s="2">
        <v>2.4295432458697768</v>
      </c>
      <c r="I7" s="2">
        <v>1.9460300985988583</v>
      </c>
      <c r="N7" s="9">
        <v>1</v>
      </c>
      <c r="O7" s="10" t="s">
        <v>9</v>
      </c>
      <c r="P7" s="11" t="s">
        <v>14</v>
      </c>
      <c r="Q7" s="12" t="s">
        <v>16</v>
      </c>
      <c r="R7" s="10" t="s">
        <v>18</v>
      </c>
      <c r="S7" s="11" t="s">
        <v>20</v>
      </c>
      <c r="T7" s="12" t="s">
        <v>22</v>
      </c>
      <c r="U7" s="10" t="s">
        <v>24</v>
      </c>
      <c r="V7" s="11" t="s">
        <v>26</v>
      </c>
    </row>
    <row r="8" spans="1:22" ht="13.5" thickBot="1" x14ac:dyDescent="0.25">
      <c r="B8" s="2">
        <v>1.7817772778402698</v>
      </c>
      <c r="C8" s="2">
        <v>3.5498203201568117</v>
      </c>
      <c r="D8" s="2">
        <v>0</v>
      </c>
      <c r="E8" s="2">
        <v>1.4407294832826745</v>
      </c>
      <c r="F8" s="2">
        <v>0.37781109445277394</v>
      </c>
      <c r="G8" s="2">
        <v>0</v>
      </c>
      <c r="H8" s="2">
        <v>3.5704567541302232</v>
      </c>
      <c r="I8" s="2">
        <v>4.0539699014011417</v>
      </c>
    </row>
    <row r="9" spans="1:22" ht="13.5" thickBot="1" x14ac:dyDescent="0.25">
      <c r="N9" s="9">
        <v>2</v>
      </c>
      <c r="O9" s="12" t="s">
        <v>28</v>
      </c>
      <c r="P9" s="10" t="s">
        <v>30</v>
      </c>
      <c r="Q9" s="12" t="s">
        <v>34</v>
      </c>
      <c r="R9" s="10" t="s">
        <v>36</v>
      </c>
      <c r="S9" s="11" t="s">
        <v>38</v>
      </c>
      <c r="T9" s="12" t="s">
        <v>40</v>
      </c>
      <c r="U9" s="10" t="s">
        <v>42</v>
      </c>
      <c r="V9" s="11" t="s">
        <v>44</v>
      </c>
    </row>
    <row r="10" spans="1:22" ht="13.5" thickBot="1" x14ac:dyDescent="0.25">
      <c r="B10" t="s">
        <v>46</v>
      </c>
      <c r="C10" t="s">
        <v>48</v>
      </c>
      <c r="D10" t="s">
        <v>50</v>
      </c>
      <c r="E10" t="s">
        <v>52</v>
      </c>
      <c r="F10" t="s">
        <v>54</v>
      </c>
      <c r="G10" t="s">
        <v>56</v>
      </c>
      <c r="H10" t="s">
        <v>58</v>
      </c>
      <c r="I10" t="s">
        <v>60</v>
      </c>
    </row>
    <row r="11" spans="1:22" ht="13.5" thickBot="1" x14ac:dyDescent="0.25">
      <c r="A11">
        <v>3</v>
      </c>
      <c r="B11" s="2">
        <v>4.0344271113501877</v>
      </c>
      <c r="C11" s="2">
        <v>2.8430629264594387</v>
      </c>
      <c r="D11" s="2">
        <v>6</v>
      </c>
      <c r="E11" s="2">
        <v>2.982107355864811</v>
      </c>
      <c r="F11" s="2">
        <v>1.9878081102570897</v>
      </c>
      <c r="G11" s="2">
        <v>1.9142419601837672</v>
      </c>
      <c r="H11" s="2">
        <v>3.386004514672686</v>
      </c>
      <c r="I11" s="2">
        <v>3.3905967450271248</v>
      </c>
      <c r="N11" s="9">
        <v>3</v>
      </c>
      <c r="O11" s="12" t="s">
        <v>46</v>
      </c>
      <c r="P11" s="10" t="s">
        <v>48</v>
      </c>
      <c r="Q11" s="11" t="s">
        <v>50</v>
      </c>
      <c r="R11" s="12" t="s">
        <v>52</v>
      </c>
      <c r="S11" s="10" t="s">
        <v>54</v>
      </c>
      <c r="T11" s="11" t="s">
        <v>56</v>
      </c>
      <c r="U11" s="12" t="s">
        <v>58</v>
      </c>
      <c r="V11" s="10" t="s">
        <v>60</v>
      </c>
    </row>
    <row r="12" spans="1:22" ht="13.5" thickBot="1" x14ac:dyDescent="0.25">
      <c r="B12" s="2">
        <v>1.9655728886498123</v>
      </c>
      <c r="C12" s="2">
        <v>3.1569370735405613</v>
      </c>
      <c r="D12" s="2">
        <v>0</v>
      </c>
      <c r="E12" s="2">
        <v>3.017892644135189</v>
      </c>
      <c r="F12" s="2">
        <v>4.0121918897429101</v>
      </c>
      <c r="G12" s="2">
        <v>4.0857580398162323</v>
      </c>
      <c r="H12" s="2">
        <v>2.613995485327314</v>
      </c>
      <c r="I12" s="2">
        <v>2.6094032549728752</v>
      </c>
    </row>
    <row r="13" spans="1:22" ht="13.5" thickBot="1" x14ac:dyDescent="0.25">
      <c r="N13" s="9">
        <v>4</v>
      </c>
      <c r="O13" s="11" t="s">
        <v>62</v>
      </c>
      <c r="P13" s="12" t="s">
        <v>64</v>
      </c>
      <c r="Q13" s="10" t="s">
        <v>66</v>
      </c>
      <c r="R13" s="11" t="s">
        <v>68</v>
      </c>
      <c r="S13" s="12" t="s">
        <v>70</v>
      </c>
      <c r="T13" s="10" t="s">
        <v>72</v>
      </c>
      <c r="U13" s="11" t="s">
        <v>74</v>
      </c>
      <c r="V13" s="12" t="s">
        <v>76</v>
      </c>
    </row>
    <row r="14" spans="1:22" x14ac:dyDescent="0.2">
      <c r="B14" t="s">
        <v>62</v>
      </c>
      <c r="C14" t="s">
        <v>64</v>
      </c>
      <c r="D14" t="s">
        <v>66</v>
      </c>
      <c r="E14" t="s">
        <v>68</v>
      </c>
      <c r="F14" t="s">
        <v>70</v>
      </c>
      <c r="G14" t="s">
        <v>72</v>
      </c>
      <c r="H14" t="s">
        <v>74</v>
      </c>
      <c r="I14" t="s">
        <v>76</v>
      </c>
    </row>
    <row r="15" spans="1:22" ht="13.5" thickBot="1" x14ac:dyDescent="0.25">
      <c r="A15">
        <v>4</v>
      </c>
      <c r="B15" s="2">
        <v>2.1073335206518689</v>
      </c>
      <c r="C15" s="2">
        <v>3.0953363598844406</v>
      </c>
      <c r="D15" s="2">
        <v>2.8724626579854458</v>
      </c>
      <c r="E15" s="2">
        <v>1.7743080198722498</v>
      </c>
      <c r="F15" s="2">
        <v>3.3738191632928474</v>
      </c>
      <c r="G15" s="2">
        <v>2.2428229665071773</v>
      </c>
      <c r="H15" s="2">
        <v>2.8517110266159698</v>
      </c>
      <c r="I15" s="2">
        <v>3.1806615776081424</v>
      </c>
    </row>
    <row r="16" spans="1:22" ht="13.5" thickBot="1" x14ac:dyDescent="0.25">
      <c r="B16" s="2">
        <v>3.8926664793481311</v>
      </c>
      <c r="C16" s="2">
        <v>2.9046636401155594</v>
      </c>
      <c r="D16" s="2">
        <v>3.1275373420145542</v>
      </c>
      <c r="E16" s="2">
        <v>4.2256919801277499</v>
      </c>
      <c r="F16" s="2">
        <v>2.6261808367071526</v>
      </c>
      <c r="G16" s="2">
        <v>3.7571770334928227</v>
      </c>
      <c r="H16" s="2">
        <v>3.1482889733840302</v>
      </c>
      <c r="I16" s="2">
        <v>2.8193384223918576</v>
      </c>
      <c r="N16" s="9">
        <v>5</v>
      </c>
      <c r="O16" s="10" t="s">
        <v>78</v>
      </c>
      <c r="P16" s="11" t="s">
        <v>80</v>
      </c>
      <c r="Q16" s="12" t="s">
        <v>82</v>
      </c>
      <c r="R16" s="10" t="s">
        <v>84</v>
      </c>
      <c r="S16" s="11" t="s">
        <v>86</v>
      </c>
      <c r="T16" s="12" t="s">
        <v>88</v>
      </c>
      <c r="U16" s="10" t="s">
        <v>90</v>
      </c>
      <c r="V16" s="11" t="s">
        <v>92</v>
      </c>
    </row>
    <row r="17" spans="1:22" ht="13.5" thickBot="1" x14ac:dyDescent="0.25"/>
    <row r="18" spans="1:22" ht="13.5" thickBot="1" x14ac:dyDescent="0.25">
      <c r="N18" s="9">
        <v>6</v>
      </c>
      <c r="O18" s="12" t="s">
        <v>94</v>
      </c>
      <c r="P18" s="10" t="s">
        <v>96</v>
      </c>
      <c r="Q18" s="11" t="s">
        <v>98</v>
      </c>
      <c r="R18" s="12" t="s">
        <v>100</v>
      </c>
      <c r="S18" s="10" t="s">
        <v>102</v>
      </c>
      <c r="T18" s="11" t="s">
        <v>104</v>
      </c>
      <c r="U18" s="12" t="s">
        <v>106</v>
      </c>
      <c r="V18" s="10" t="s">
        <v>108</v>
      </c>
    </row>
    <row r="19" spans="1:22" ht="13.5" thickBot="1" x14ac:dyDescent="0.25"/>
    <row r="20" spans="1:22" ht="13.5" thickBot="1" x14ac:dyDescent="0.25">
      <c r="N20" s="9">
        <v>7</v>
      </c>
      <c r="O20" s="11" t="s">
        <v>110</v>
      </c>
      <c r="P20" s="12" t="s">
        <v>112</v>
      </c>
      <c r="Q20" s="10" t="s">
        <v>114</v>
      </c>
      <c r="R20" s="11" t="s">
        <v>116</v>
      </c>
      <c r="S20" s="12" t="s">
        <v>118</v>
      </c>
      <c r="T20" s="10" t="s">
        <v>120</v>
      </c>
      <c r="U20" s="11" t="s">
        <v>122</v>
      </c>
      <c r="V20" s="12" t="s">
        <v>124</v>
      </c>
    </row>
    <row r="21" spans="1:22" ht="16.5" thickBot="1" x14ac:dyDescent="0.25">
      <c r="B21" s="4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</row>
    <row r="22" spans="1:22" ht="13.5" thickBot="1" x14ac:dyDescent="0.25">
      <c r="A22">
        <v>5</v>
      </c>
      <c r="B22" t="s">
        <v>78</v>
      </c>
      <c r="C22" t="s">
        <v>80</v>
      </c>
      <c r="D22" t="s">
        <v>82</v>
      </c>
      <c r="E22" t="s">
        <v>84</v>
      </c>
      <c r="F22" t="s">
        <v>86</v>
      </c>
      <c r="G22" t="s">
        <v>88</v>
      </c>
      <c r="H22" t="s">
        <v>90</v>
      </c>
      <c r="I22" t="s">
        <v>92</v>
      </c>
      <c r="N22" s="9">
        <v>8</v>
      </c>
      <c r="O22" s="10" t="s">
        <v>126</v>
      </c>
      <c r="P22" s="11" t="s">
        <v>128</v>
      </c>
      <c r="Q22" s="12" t="s">
        <v>130</v>
      </c>
      <c r="R22" s="10" t="s">
        <v>132</v>
      </c>
      <c r="S22" s="11" t="s">
        <v>134</v>
      </c>
      <c r="T22" s="12" t="s">
        <v>136</v>
      </c>
      <c r="U22" s="10" t="s">
        <v>138</v>
      </c>
      <c r="V22" s="11" t="s">
        <v>140</v>
      </c>
    </row>
    <row r="23" spans="1:22" x14ac:dyDescent="0.2">
      <c r="B23" s="2">
        <v>2.473614775725594</v>
      </c>
      <c r="C23" s="2">
        <v>2.5667351129363452</v>
      </c>
      <c r="D23" s="2">
        <v>2.5799793601651189</v>
      </c>
      <c r="E23" s="2">
        <v>3.5079513564078577</v>
      </c>
      <c r="F23" s="2">
        <v>2.6187150837988828</v>
      </c>
      <c r="G23" s="2">
        <v>3.2537960954446854</v>
      </c>
      <c r="H23" s="2">
        <v>3.7556334501752633</v>
      </c>
      <c r="I23" s="2">
        <v>2.1008403361344539</v>
      </c>
    </row>
    <row r="24" spans="1:22" ht="13.5" thickBot="1" x14ac:dyDescent="0.25">
      <c r="B24" s="2">
        <v>3.526385224274406</v>
      </c>
      <c r="C24" s="2">
        <v>3.4332648870636548</v>
      </c>
      <c r="D24" s="2">
        <v>3.4200206398348811</v>
      </c>
      <c r="E24" s="2">
        <v>2.4920486435921423</v>
      </c>
      <c r="F24" s="2">
        <v>3.3812849162011172</v>
      </c>
      <c r="G24" s="2">
        <v>2.7462039045553146</v>
      </c>
      <c r="H24" s="2">
        <v>2.2443665498247367</v>
      </c>
      <c r="I24" s="2">
        <v>3.8991596638655461</v>
      </c>
    </row>
    <row r="25" spans="1:22" ht="13.5" thickBot="1" x14ac:dyDescent="0.25">
      <c r="N25" s="9">
        <v>9</v>
      </c>
      <c r="O25" s="12" t="s">
        <v>142</v>
      </c>
      <c r="P25" s="10" t="s">
        <v>144</v>
      </c>
      <c r="Q25" s="11" t="s">
        <v>146</v>
      </c>
      <c r="R25" s="12" t="s">
        <v>148</v>
      </c>
      <c r="S25" s="10" t="s">
        <v>150</v>
      </c>
      <c r="T25" s="12" t="s">
        <v>152</v>
      </c>
      <c r="U25" s="10" t="s">
        <v>154</v>
      </c>
      <c r="V25" s="11" t="s">
        <v>156</v>
      </c>
    </row>
    <row r="26" spans="1:22" ht="13.5" thickBot="1" x14ac:dyDescent="0.25">
      <c r="A26">
        <v>6</v>
      </c>
      <c r="B26" t="s">
        <v>94</v>
      </c>
      <c r="C26" t="s">
        <v>96</v>
      </c>
      <c r="D26" t="s">
        <v>98</v>
      </c>
      <c r="E26" t="s">
        <v>100</v>
      </c>
      <c r="F26" t="s">
        <v>102</v>
      </c>
      <c r="G26" t="s">
        <v>104</v>
      </c>
      <c r="H26" t="s">
        <v>106</v>
      </c>
      <c r="I26" t="s">
        <v>108</v>
      </c>
    </row>
    <row r="27" spans="1:22" ht="13.5" thickBot="1" x14ac:dyDescent="0.25">
      <c r="B27" s="2">
        <v>1.599488163787588</v>
      </c>
      <c r="C27" s="2">
        <v>2.6595744680851063</v>
      </c>
      <c r="D27" s="2">
        <v>1.9978689397975493</v>
      </c>
      <c r="E27" s="2">
        <v>1.75561797752809</v>
      </c>
      <c r="F27" s="2">
        <v>2.2761760242792111</v>
      </c>
      <c r="G27" s="2">
        <v>2.3076923076923075</v>
      </c>
      <c r="H27" s="2">
        <v>2.1258503401360542</v>
      </c>
      <c r="I27" s="2">
        <v>1.8386859524393235</v>
      </c>
      <c r="N27" s="9">
        <v>10</v>
      </c>
      <c r="O27" s="12" t="s">
        <v>158</v>
      </c>
      <c r="P27" s="10" t="s">
        <v>160</v>
      </c>
      <c r="Q27" s="11" t="s">
        <v>162</v>
      </c>
      <c r="R27" s="12" t="s">
        <v>164</v>
      </c>
      <c r="S27" s="10" t="s">
        <v>166</v>
      </c>
      <c r="T27" s="11" t="s">
        <v>168</v>
      </c>
      <c r="U27" s="12" t="s">
        <v>170</v>
      </c>
      <c r="V27" s="10" t="s">
        <v>172</v>
      </c>
    </row>
    <row r="28" spans="1:22" ht="13.5" thickBot="1" x14ac:dyDescent="0.25">
      <c r="B28" s="2">
        <v>4.400511836212412</v>
      </c>
      <c r="C28" s="2">
        <v>3.3404255319148937</v>
      </c>
      <c r="D28" s="2">
        <v>4.0021310602024505</v>
      </c>
      <c r="E28" s="2">
        <v>4.2443820224719104</v>
      </c>
      <c r="F28" s="2">
        <v>3.7238239757207889</v>
      </c>
      <c r="G28" s="2">
        <v>3.6923076923076925</v>
      </c>
      <c r="H28" s="2">
        <v>3.8741496598639458</v>
      </c>
      <c r="I28" s="2">
        <v>4.1613140475606762</v>
      </c>
    </row>
    <row r="29" spans="1:22" ht="13.5" thickBot="1" x14ac:dyDescent="0.25">
      <c r="N29" s="9">
        <v>11</v>
      </c>
      <c r="O29" s="11" t="s">
        <v>174</v>
      </c>
      <c r="P29" s="12" t="s">
        <v>176</v>
      </c>
      <c r="Q29" s="10" t="s">
        <v>178</v>
      </c>
      <c r="R29" s="11" t="s">
        <v>180</v>
      </c>
      <c r="S29" s="12" t="s">
        <v>182</v>
      </c>
      <c r="T29" s="10" t="s">
        <v>184</v>
      </c>
      <c r="U29" s="11" t="s">
        <v>186</v>
      </c>
      <c r="V29" s="12" t="s">
        <v>188</v>
      </c>
    </row>
    <row r="30" spans="1:22" ht="13.5" thickBot="1" x14ac:dyDescent="0.25">
      <c r="A30">
        <v>7</v>
      </c>
      <c r="B30" t="s">
        <v>110</v>
      </c>
      <c r="C30" t="s">
        <v>112</v>
      </c>
      <c r="D30" t="s">
        <v>114</v>
      </c>
      <c r="E30" t="s">
        <v>116</v>
      </c>
      <c r="F30" t="s">
        <v>118</v>
      </c>
      <c r="G30" t="s">
        <v>120</v>
      </c>
      <c r="H30" t="s">
        <v>122</v>
      </c>
      <c r="I30" t="s">
        <v>124</v>
      </c>
    </row>
    <row r="31" spans="1:22" ht="13.5" thickBot="1" x14ac:dyDescent="0.25">
      <c r="B31" s="2">
        <v>2.2679165406713033</v>
      </c>
      <c r="C31" s="2">
        <v>5.9904153354632586</v>
      </c>
      <c r="D31" s="2">
        <v>2.7974636329727711</v>
      </c>
      <c r="E31" s="2">
        <v>2.6288117770767614</v>
      </c>
      <c r="F31" s="2">
        <v>2.4374390640233994</v>
      </c>
      <c r="G31" s="2">
        <v>2.8724626579854458</v>
      </c>
      <c r="H31" s="2">
        <v>4.1322314049586772</v>
      </c>
      <c r="I31" s="2">
        <v>1.9757639620653318</v>
      </c>
      <c r="N31" s="9">
        <v>12</v>
      </c>
      <c r="O31" s="10" t="s">
        <v>190</v>
      </c>
      <c r="P31" s="11" t="s">
        <v>192</v>
      </c>
      <c r="Q31" s="12" t="s">
        <v>194</v>
      </c>
      <c r="R31" s="10" t="s">
        <v>196</v>
      </c>
      <c r="S31" s="11" t="s">
        <v>198</v>
      </c>
      <c r="T31" s="12" t="s">
        <v>200</v>
      </c>
      <c r="U31" s="10" t="s">
        <v>202</v>
      </c>
      <c r="V31" s="11" t="s">
        <v>204</v>
      </c>
    </row>
    <row r="32" spans="1:22" x14ac:dyDescent="0.2">
      <c r="B32" s="2">
        <v>3.7320834593286967</v>
      </c>
      <c r="C32" s="2">
        <v>9.5846645367414496E-3</v>
      </c>
      <c r="D32" s="2">
        <v>3.2025363670272289</v>
      </c>
      <c r="E32" s="2">
        <v>3.3711882229232386</v>
      </c>
      <c r="F32" s="2">
        <v>3.5625609359766006</v>
      </c>
      <c r="G32" s="2">
        <v>3.1275373420145542</v>
      </c>
      <c r="H32" s="2">
        <v>1.8677685950413228</v>
      </c>
      <c r="I32" s="2">
        <v>4.024236037934668</v>
      </c>
    </row>
    <row r="33" spans="1:22" ht="13.5" thickBot="1" x14ac:dyDescent="0.25"/>
    <row r="34" spans="1:22" ht="13.5" thickBot="1" x14ac:dyDescent="0.25">
      <c r="A34">
        <v>8</v>
      </c>
      <c r="B34" t="s">
        <v>126</v>
      </c>
      <c r="C34" t="s">
        <v>128</v>
      </c>
      <c r="D34" t="s">
        <v>130</v>
      </c>
      <c r="E34" t="s">
        <v>132</v>
      </c>
      <c r="F34" t="s">
        <v>134</v>
      </c>
      <c r="G34" t="s">
        <v>136</v>
      </c>
      <c r="H34" t="s">
        <v>138</v>
      </c>
      <c r="I34" t="s">
        <v>140</v>
      </c>
      <c r="N34" s="9">
        <v>13</v>
      </c>
      <c r="O34" s="12" t="s">
        <v>206</v>
      </c>
      <c r="P34" s="10" t="s">
        <v>208</v>
      </c>
      <c r="Q34" s="11" t="s">
        <v>210</v>
      </c>
      <c r="R34" s="12" t="s">
        <v>212</v>
      </c>
      <c r="S34" s="10" t="s">
        <v>214</v>
      </c>
      <c r="T34" s="11" t="s">
        <v>216</v>
      </c>
      <c r="U34" s="12" t="s">
        <v>218</v>
      </c>
      <c r="V34" s="10" t="s">
        <v>220</v>
      </c>
    </row>
    <row r="35" spans="1:22" ht="13.5" thickBot="1" x14ac:dyDescent="0.25">
      <c r="B35" s="2">
        <v>2.3555276381909551</v>
      </c>
      <c r="C35" s="2">
        <v>2.44140625</v>
      </c>
      <c r="D35" s="2">
        <v>2.0943870427254954</v>
      </c>
      <c r="E35" s="2">
        <v>2.2039377020276225</v>
      </c>
      <c r="F35" s="2">
        <v>4.0783034257748776</v>
      </c>
      <c r="G35" s="2">
        <v>3.1380753138075312</v>
      </c>
      <c r="H35" s="2">
        <v>2.0308692120227456</v>
      </c>
      <c r="I35" s="2">
        <v>3.3171163202122957</v>
      </c>
    </row>
    <row r="36" spans="1:22" ht="13.5" thickBot="1" x14ac:dyDescent="0.25">
      <c r="B36" s="2">
        <v>3.6444723618090449</v>
      </c>
      <c r="C36" s="2">
        <v>3.55859375</v>
      </c>
      <c r="D36" s="2">
        <v>3.9056129572745046</v>
      </c>
      <c r="E36" s="2">
        <v>3.7960622979723775</v>
      </c>
      <c r="F36" s="2">
        <v>1.9216965742251224</v>
      </c>
      <c r="G36" s="2">
        <v>2.8619246861924688</v>
      </c>
      <c r="H36" s="2">
        <v>3.9691307879772544</v>
      </c>
      <c r="I36" s="2">
        <v>2.6828836797877043</v>
      </c>
      <c r="N36" s="9">
        <v>14</v>
      </c>
      <c r="O36" s="11" t="s">
        <v>222</v>
      </c>
      <c r="P36" s="12" t="s">
        <v>224</v>
      </c>
      <c r="Q36" s="10" t="s">
        <v>226</v>
      </c>
      <c r="R36" s="11" t="s">
        <v>228</v>
      </c>
      <c r="S36" s="12" t="s">
        <v>230</v>
      </c>
      <c r="T36" s="10" t="s">
        <v>232</v>
      </c>
      <c r="U36" s="11" t="s">
        <v>234</v>
      </c>
      <c r="V36" s="12" t="s">
        <v>236</v>
      </c>
    </row>
    <row r="40" spans="1:22" ht="13.5" thickBot="1" x14ac:dyDescent="0.25"/>
    <row r="41" spans="1:22" ht="16.5" thickBot="1" x14ac:dyDescent="0.25">
      <c r="B41" s="4">
        <v>1</v>
      </c>
      <c r="C41" s="5">
        <v>2</v>
      </c>
      <c r="D41" s="5">
        <v>3</v>
      </c>
      <c r="E41" s="5">
        <v>4</v>
      </c>
      <c r="F41" s="5">
        <v>5</v>
      </c>
      <c r="G41" s="5">
        <v>6</v>
      </c>
      <c r="H41" s="5">
        <v>7</v>
      </c>
      <c r="I41" s="5">
        <v>8</v>
      </c>
    </row>
    <row r="42" spans="1:22" x14ac:dyDescent="0.2">
      <c r="B42" t="s">
        <v>142</v>
      </c>
      <c r="C42" t="s">
        <v>144</v>
      </c>
      <c r="D42" t="s">
        <v>146</v>
      </c>
      <c r="E42" t="s">
        <v>148</v>
      </c>
      <c r="F42" t="s">
        <v>150</v>
      </c>
      <c r="G42" t="s">
        <v>152</v>
      </c>
      <c r="H42" t="s">
        <v>154</v>
      </c>
      <c r="I42" t="s">
        <v>156</v>
      </c>
    </row>
    <row r="43" spans="1:22" x14ac:dyDescent="0.2">
      <c r="A43">
        <v>9</v>
      </c>
      <c r="B43" s="2">
        <v>2.358490566037736</v>
      </c>
      <c r="C43" s="2">
        <v>3.9411455596426692</v>
      </c>
      <c r="D43" s="2">
        <v>3.1446540880503147</v>
      </c>
      <c r="E43" s="2">
        <v>3.1806615776081424</v>
      </c>
      <c r="F43" s="2">
        <v>2.7665068240501656</v>
      </c>
      <c r="G43" s="2">
        <v>2.2928767960868233</v>
      </c>
      <c r="H43" s="2">
        <v>2.9527559055118111</v>
      </c>
      <c r="I43" s="2">
        <v>2.6891358910003587</v>
      </c>
    </row>
    <row r="44" spans="1:22" x14ac:dyDescent="0.2">
      <c r="B44" s="2">
        <v>3.641509433962264</v>
      </c>
      <c r="C44" s="2">
        <v>2.0588544403573308</v>
      </c>
      <c r="D44" s="2">
        <v>2.8553459119496853</v>
      </c>
      <c r="E44" s="2">
        <v>2.8193384223918576</v>
      </c>
      <c r="F44" s="2">
        <v>3.2334931759498344</v>
      </c>
      <c r="G44" s="2">
        <v>3.7071232039131767</v>
      </c>
      <c r="H44" s="2">
        <v>3.0472440944881889</v>
      </c>
      <c r="I44" s="2">
        <v>3.3108641089996413</v>
      </c>
    </row>
    <row r="46" spans="1:22" x14ac:dyDescent="0.2">
      <c r="B46" t="s">
        <v>158</v>
      </c>
      <c r="C46" t="s">
        <v>160</v>
      </c>
      <c r="D46" t="s">
        <v>162</v>
      </c>
      <c r="E46" t="s">
        <v>164</v>
      </c>
      <c r="F46" t="s">
        <v>166</v>
      </c>
      <c r="G46" t="s">
        <v>168</v>
      </c>
      <c r="H46" t="s">
        <v>170</v>
      </c>
      <c r="I46" t="s">
        <v>172</v>
      </c>
    </row>
    <row r="47" spans="1:22" x14ac:dyDescent="0.2">
      <c r="A47">
        <v>10</v>
      </c>
      <c r="B47" s="2">
        <v>2.826988315114964</v>
      </c>
      <c r="C47" s="2">
        <v>2.4941802460924509</v>
      </c>
      <c r="D47" s="2">
        <v>3.0132583366813979</v>
      </c>
      <c r="E47" s="2">
        <v>1.4323911382734911</v>
      </c>
      <c r="F47" s="2">
        <v>6</v>
      </c>
      <c r="G47" s="2">
        <v>3.0036043251902282</v>
      </c>
      <c r="H47" s="2">
        <v>2.263126131563066</v>
      </c>
      <c r="I47" s="2">
        <v>3.1860662701784195</v>
      </c>
    </row>
    <row r="48" spans="1:22" x14ac:dyDescent="0.2">
      <c r="B48" s="2">
        <v>3.173011684885036</v>
      </c>
      <c r="C48" s="2">
        <v>3.5058197539075491</v>
      </c>
      <c r="D48" s="2">
        <v>2.9867416633186021</v>
      </c>
      <c r="E48" s="2">
        <v>4.5676088617265087</v>
      </c>
      <c r="F48" s="2">
        <v>0</v>
      </c>
      <c r="G48" s="2">
        <v>2.9963956748097718</v>
      </c>
      <c r="H48" s="2">
        <v>3.736873868436934</v>
      </c>
      <c r="I48" s="2">
        <v>2.8139337298215805</v>
      </c>
    </row>
    <row r="50" spans="1:9" x14ac:dyDescent="0.2">
      <c r="B50" t="s">
        <v>174</v>
      </c>
      <c r="C50" t="s">
        <v>176</v>
      </c>
      <c r="D50" t="s">
        <v>178</v>
      </c>
      <c r="E50" t="s">
        <v>180</v>
      </c>
      <c r="F50" t="s">
        <v>182</v>
      </c>
      <c r="G50" t="s">
        <v>184</v>
      </c>
      <c r="H50" t="s">
        <v>186</v>
      </c>
      <c r="I50" t="s">
        <v>188</v>
      </c>
    </row>
    <row r="51" spans="1:9" x14ac:dyDescent="0.2">
      <c r="A51">
        <v>11</v>
      </c>
      <c r="B51" s="2">
        <v>1.8297145645279338</v>
      </c>
      <c r="C51" s="2">
        <v>4.5984058859595338</v>
      </c>
      <c r="D51" s="2">
        <v>2.5553662691652472</v>
      </c>
      <c r="E51" s="2">
        <v>4.220596510973551</v>
      </c>
      <c r="F51" s="2">
        <v>6</v>
      </c>
      <c r="G51" s="2">
        <v>2.7066041140382531</v>
      </c>
      <c r="H51" s="2">
        <v>5.957108816521048</v>
      </c>
      <c r="I51" s="2">
        <v>6</v>
      </c>
    </row>
    <row r="52" spans="1:9" x14ac:dyDescent="0.2">
      <c r="B52" s="2">
        <v>4.1702854354720662</v>
      </c>
      <c r="C52" s="2">
        <v>1.4015941140404662</v>
      </c>
      <c r="D52" s="2">
        <v>3.4446337308347528</v>
      </c>
      <c r="E52" s="2">
        <v>1.779403489026449</v>
      </c>
      <c r="F52" s="2">
        <v>0</v>
      </c>
      <c r="G52" s="2">
        <v>3.2933958859617469</v>
      </c>
      <c r="H52" s="2">
        <v>4.2891183478952044E-2</v>
      </c>
      <c r="I52" s="2">
        <v>0</v>
      </c>
    </row>
    <row r="54" spans="1:9" x14ac:dyDescent="0.2">
      <c r="B54" t="s">
        <v>190</v>
      </c>
      <c r="C54" t="s">
        <v>192</v>
      </c>
      <c r="D54" t="s">
        <v>194</v>
      </c>
      <c r="E54" t="s">
        <v>196</v>
      </c>
      <c r="F54" t="s">
        <v>198</v>
      </c>
      <c r="G54" t="s">
        <v>200</v>
      </c>
      <c r="H54" t="s">
        <v>202</v>
      </c>
      <c r="I54" t="s">
        <v>204</v>
      </c>
    </row>
    <row r="55" spans="1:9" x14ac:dyDescent="0.2">
      <c r="A55">
        <v>12</v>
      </c>
      <c r="B55" s="2">
        <v>2.1508459994264411</v>
      </c>
      <c r="C55" s="2">
        <v>6</v>
      </c>
      <c r="D55" s="2">
        <v>2.3592324630386914</v>
      </c>
      <c r="E55" s="2">
        <v>2.3607176581680833</v>
      </c>
      <c r="F55" s="2">
        <v>3.2106164383561646</v>
      </c>
      <c r="G55" s="2">
        <v>3.360215053763441</v>
      </c>
      <c r="H55" s="2">
        <v>2.6901004304160687</v>
      </c>
      <c r="I55" s="2">
        <v>3.5161744022503516</v>
      </c>
    </row>
    <row r="56" spans="1:9" x14ac:dyDescent="0.2">
      <c r="B56" s="2">
        <v>3.8491540005735589</v>
      </c>
      <c r="C56" s="2">
        <v>0</v>
      </c>
      <c r="D56" s="2">
        <v>3.6407675369613086</v>
      </c>
      <c r="E56" s="2">
        <v>3.6392823418319167</v>
      </c>
      <c r="F56" s="2">
        <v>2.7893835616438354</v>
      </c>
      <c r="G56" s="2">
        <v>2.639784946236559</v>
      </c>
      <c r="H56" s="2">
        <v>3.3098995695839313</v>
      </c>
      <c r="I56" s="2">
        <v>2.4838255977496484</v>
      </c>
    </row>
    <row r="59" spans="1:9" ht="13.5" thickBot="1" x14ac:dyDescent="0.25"/>
    <row r="60" spans="1:9" ht="16.5" thickBot="1" x14ac:dyDescent="0.25">
      <c r="B60" s="4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</row>
    <row r="61" spans="1:9" x14ac:dyDescent="0.2">
      <c r="B61" t="s">
        <v>206</v>
      </c>
      <c r="C61" t="s">
        <v>208</v>
      </c>
      <c r="D61" t="s">
        <v>210</v>
      </c>
      <c r="E61" t="s">
        <v>212</v>
      </c>
      <c r="F61" t="s">
        <v>214</v>
      </c>
      <c r="G61" t="s">
        <v>216</v>
      </c>
      <c r="H61" t="s">
        <v>218</v>
      </c>
      <c r="I61" t="s">
        <v>220</v>
      </c>
    </row>
    <row r="62" spans="1:9" x14ac:dyDescent="0.2">
      <c r="A62">
        <v>13</v>
      </c>
      <c r="B62" s="2">
        <v>2.8968713789107765</v>
      </c>
      <c r="C62" s="2">
        <v>4.9407114624505928</v>
      </c>
      <c r="D62" s="2">
        <v>6</v>
      </c>
      <c r="E62" s="2">
        <v>4.7258979206049156</v>
      </c>
      <c r="F62" s="2">
        <v>3.1996587030716723</v>
      </c>
      <c r="G62" s="2">
        <v>4.3528728961114336</v>
      </c>
      <c r="H62" s="2">
        <v>6</v>
      </c>
      <c r="I62" s="2">
        <v>4.2881646655231558</v>
      </c>
    </row>
    <row r="63" spans="1:9" x14ac:dyDescent="0.2">
      <c r="B63" s="2">
        <v>3.1031286210892235</v>
      </c>
      <c r="C63" s="2">
        <v>1.0592885375494072</v>
      </c>
      <c r="D63" s="2">
        <v>0</v>
      </c>
      <c r="E63" s="2">
        <v>1.2741020793950844</v>
      </c>
      <c r="F63" s="2">
        <v>2.8003412969283277</v>
      </c>
      <c r="G63" s="2">
        <v>1.6471271038885664</v>
      </c>
      <c r="H63" s="2">
        <v>0</v>
      </c>
      <c r="I63" s="2">
        <v>1.7118353344768442</v>
      </c>
    </row>
    <row r="65" spans="1:9" x14ac:dyDescent="0.2">
      <c r="B65" t="s">
        <v>222</v>
      </c>
      <c r="C65" t="s">
        <v>224</v>
      </c>
      <c r="D65" t="s">
        <v>226</v>
      </c>
      <c r="E65" t="s">
        <v>228</v>
      </c>
      <c r="F65" t="s">
        <v>230</v>
      </c>
      <c r="G65" t="s">
        <v>232</v>
      </c>
      <c r="H65" t="s">
        <v>234</v>
      </c>
      <c r="I65" t="s">
        <v>236</v>
      </c>
    </row>
    <row r="66" spans="1:9" x14ac:dyDescent="0.2">
      <c r="A66">
        <v>14</v>
      </c>
      <c r="B66" s="2">
        <v>4.7229219143576824</v>
      </c>
      <c r="C66" s="2">
        <v>6</v>
      </c>
      <c r="D66" s="2">
        <v>3.2808398950131235</v>
      </c>
      <c r="E66" s="2">
        <v>6</v>
      </c>
      <c r="F66" s="2">
        <v>4.1736227045075127</v>
      </c>
      <c r="G66" s="2">
        <v>5.7077625570776256</v>
      </c>
      <c r="H66" s="2">
        <v>6</v>
      </c>
      <c r="I66" s="2">
        <v>4.8200514138817478</v>
      </c>
    </row>
    <row r="67" spans="1:9" x14ac:dyDescent="0.2">
      <c r="B67" s="2">
        <v>1.2770780856423176</v>
      </c>
      <c r="C67" s="2">
        <v>0</v>
      </c>
      <c r="D67" s="2">
        <v>2.7191601049868765</v>
      </c>
      <c r="E67" s="2">
        <v>0</v>
      </c>
      <c r="F67" s="2">
        <v>1.8263772954924873</v>
      </c>
      <c r="G67" s="2">
        <v>0.29223744292237441</v>
      </c>
      <c r="H67" s="2">
        <v>0</v>
      </c>
      <c r="I67" s="2">
        <v>1.1799485861182522</v>
      </c>
    </row>
    <row r="71" spans="1:9" x14ac:dyDescent="0.2">
      <c r="B71" s="2"/>
    </row>
    <row r="72" spans="1:9" x14ac:dyDescent="0.2">
      <c r="B72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data</vt:lpstr>
      <vt:lpstr>Table lookup_I1</vt:lpstr>
      <vt:lpstr>cDNA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Corine Alexis Faehn</cp:lastModifiedBy>
  <dcterms:created xsi:type="dcterms:W3CDTF">2020-10-28T12:41:50Z</dcterms:created>
  <dcterms:modified xsi:type="dcterms:W3CDTF">2021-11-15T14:20:50Z</dcterms:modified>
</cp:coreProperties>
</file>